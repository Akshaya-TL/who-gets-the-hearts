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 sheetId="1" r:id="rId5"/>
    <sheet state="visible" name="Posts_Primary" sheetId="2" r:id="rId6"/>
    <sheet state="visible" name="AI_Comments_Data" sheetId="3" r:id="rId7"/>
    <sheet state="visible" name="AI_CommentDate_Data" sheetId="4" r:id="rId8"/>
    <sheet state="visible" name="Human_Comments_Data" sheetId="5" r:id="rId9"/>
    <sheet state="visible" name="Human_CommentDate" sheetId="6" r:id="rId10"/>
  </sheets>
  <definedNames/>
  <calcPr/>
</workbook>
</file>

<file path=xl/sharedStrings.xml><?xml version="1.0" encoding="utf-8"?>
<sst xmlns="http://schemas.openxmlformats.org/spreadsheetml/2006/main" count="1868" uniqueCount="1438">
  <si>
    <r>
      <rPr>
        <rFont val="Arial"/>
        <color rgb="FF1F1F1F"/>
        <u/>
      </rPr>
      <t xml:space="preserve">Ref: 
</t>
    </r>
    <r>
      <rPr>
        <rFont val="Arial"/>
        <color rgb="FF1155CC"/>
        <u/>
      </rPr>
      <t>https://momaa.org/40-most-influential-artists-dominating-instagram/?srsltid=AfmBOorWxzY4cT1y0XLzQMC7r3YTRMWb-8a-w2PjonIF0STV4twtdQbl</t>
    </r>
  </si>
  <si>
    <t>https://en.wikipedia.org/wiki/Periods_in_Western_art_history#Renaissance_to_Neoclassicism</t>
  </si>
  <si>
    <t>https://theartling.com/en/artzine/contemporary-art-styles/?srsltid=AfmBOopK3uAvZY1ntnAd7zEk2ASCby3cXlGIAHaz1pLV8d36Q4QFJ6wm</t>
  </si>
  <si>
    <t>List of HashTags</t>
  </si>
  <si>
    <t>AI Tags</t>
  </si>
  <si>
    <t>Cynthia</t>
  </si>
  <si>
    <t>#aiartworks(855 k), #aiartcomm(314 k), # aiartistoninstagram (29.3 k)</t>
  </si>
  <si>
    <t>Akshaya</t>
  </si>
  <si>
    <t xml:space="preserve">#aiartist (4.5M), #aiart (22.5 M), #aiartisart (23.6 K), </t>
  </si>
  <si>
    <t>Grace</t>
  </si>
  <si>
    <t>#aiartfamily (25.5 K), #aiartistsofinstagram (29.3 K), #aiartcomunity (24 K)</t>
  </si>
  <si>
    <t>Soham</t>
  </si>
  <si>
    <t>#aiartportrait (23.1 K), #aiartgenerator (284 K), #aiartgallery (721 k)</t>
  </si>
  <si>
    <t>human_post_id</t>
  </si>
  <si>
    <t>human_post_link</t>
  </si>
  <si>
    <t>human_type</t>
  </si>
  <si>
    <t>human_art_description</t>
  </si>
  <si>
    <t>human_instagram_account</t>
  </si>
  <si>
    <t>human_followers</t>
  </si>
  <si>
    <t>human_posts</t>
  </si>
  <si>
    <t>human_likes</t>
  </si>
  <si>
    <t>human_total_comment_count</t>
  </si>
  <si>
    <t>human_reposts</t>
  </si>
  <si>
    <t>human_shares</t>
  </si>
  <si>
    <t>ai_post_id</t>
  </si>
  <si>
    <t>ai_post_link</t>
  </si>
  <si>
    <t>ai_type</t>
  </si>
  <si>
    <t>ai_art_description</t>
  </si>
  <si>
    <t>ai_instagram_account</t>
  </si>
  <si>
    <t>ai_followers</t>
  </si>
  <si>
    <t>ai_posts</t>
  </si>
  <si>
    <t>ai_likes</t>
  </si>
  <si>
    <t>ai_total_comment_count</t>
  </si>
  <si>
    <t>ai_reposts</t>
  </si>
  <si>
    <t>ai_shares</t>
  </si>
  <si>
    <t>discovery_hashtag</t>
  </si>
  <si>
    <t>DDhx9Znow-I</t>
  </si>
  <si>
    <t>https://www.instagram.com/p/DDhx9Znow-I/</t>
  </si>
  <si>
    <t>Post</t>
  </si>
  <si>
    <t>nature, wildlife, deer, oil painting</t>
  </si>
  <si>
    <t>https://www.instagram.com/p/C-44eycs1H5/</t>
  </si>
  <si>
    <t>nature, wallpaper</t>
  </si>
  <si>
    <t>https://www.instagram.com/prernaverse_/</t>
  </si>
  <si>
    <t>#aiartfamily</t>
  </si>
  <si>
    <t>Cyv2nzcR0ic</t>
  </si>
  <si>
    <t>https://www.instagram.com/p/Cyv2nzcR0ic/</t>
  </si>
  <si>
    <t>stars, rain</t>
  </si>
  <si>
    <t>https://www.instagram.com/p/DVMb9kqElDz/</t>
  </si>
  <si>
    <t>cosmic</t>
  </si>
  <si>
    <t>https://www.instagram.com/cosmiclensai/</t>
  </si>
  <si>
    <t>#aiartistsofinstagram</t>
  </si>
  <si>
    <t>DTIwN17jeaP</t>
  </si>
  <si>
    <t>https://www.instagram.com/p/DTIwN17jeaP/?img_index=1</t>
  </si>
  <si>
    <t>https://www.instagram.com/p/DNSWhv1uGjZ/</t>
  </si>
  <si>
    <t>portrait, dreamcore</t>
  </si>
  <si>
    <t>https://www.instagram.com/scatterbrainshowcase/</t>
  </si>
  <si>
    <t>DU1U8PajE9B</t>
  </si>
  <si>
    <t>https://www.instagram.com/p/DU1U8PajE9B/?img_index=1</t>
  </si>
  <si>
    <t>barbie, gouache</t>
  </si>
  <si>
    <t>https://www.instagram.com/p/DMyBan2tx-f</t>
  </si>
  <si>
    <t>https://www.instagram.com/shellys_arts/</t>
  </si>
  <si>
    <t>#aiartcommunity</t>
  </si>
  <si>
    <t>DQYB2QXEidj</t>
  </si>
  <si>
    <t>https://www.instagram.com/p/DQYB2QXEidj/</t>
  </si>
  <si>
    <t>glass, flowers</t>
  </si>
  <si>
    <t>https://www.instagram.com/p/DHOa6Ajt1dq/</t>
  </si>
  <si>
    <t>glass</t>
  </si>
  <si>
    <t>https://www.instagram.com/dreamfall.art/</t>
  </si>
  <si>
    <t>DKcV3N1TsQm</t>
  </si>
  <si>
    <t>https://www.instagram.com/p/DKcV3N1TsQm/?img_index=1</t>
  </si>
  <si>
    <t>graphic design</t>
  </si>
  <si>
    <t>https://www.instagram.com/p/C0sQkLEPkyC</t>
  </si>
  <si>
    <t>https://www.instagram.com/gom.tollum/</t>
  </si>
  <si>
    <t>DVYOc42DJK9</t>
  </si>
  <si>
    <t>https://www.instagram.com/p/DVYOc42DJK9/?img_index=1</t>
  </si>
  <si>
    <t>car design</t>
  </si>
  <si>
    <t>https://www.instagram.com/p/DQcyILfj1Nx/</t>
  </si>
  <si>
    <t>car, design</t>
  </si>
  <si>
    <t>https://www.instagram.com/theklimate/</t>
  </si>
  <si>
    <t>DLi3y43shZY</t>
  </si>
  <si>
    <t>https://www.instagram.com/p/DLi3y43shZY/</t>
  </si>
  <si>
    <t>watercolor</t>
  </si>
  <si>
    <t>https://www.instagram.com/p/DQhcx5VDMHT/</t>
  </si>
  <si>
    <t>https://www.instagram.com/raphaelle_iartiste/</t>
  </si>
  <si>
    <t>DOBuhjxCNNG</t>
  </si>
  <si>
    <t>https://www.instagram.com/p/DOBuhjxCNNG/?img_index=1</t>
  </si>
  <si>
    <t>portrait</t>
  </si>
  <si>
    <t>https://www.instagram.com/sorcerix_art/</t>
  </si>
  <si>
    <t>https://www.instagram.com/p/DVYkAyEDF9p/</t>
  </si>
  <si>
    <t>fantasy illustration, portrait</t>
  </si>
  <si>
    <t>https://www.instagram.com/lenycherry_aiart/</t>
  </si>
  <si>
    <t>#aiartcommunity
#aiartfamily</t>
  </si>
  <si>
    <t>DTr79-Yk6a4</t>
  </si>
  <si>
    <t>https://www.instagram.com/p/DTr79-Yk6a4/?img_index=1</t>
  </si>
  <si>
    <t>https://www.instagram.com/p/Co-OeX8tLU-/</t>
  </si>
  <si>
    <t>house, concept art</t>
  </si>
  <si>
    <t>https://www.instagram.com/alvia.art/</t>
  </si>
  <si>
    <t>https://www.instagram.com/p/Cy-If2RN884/?igsh=ZmY3Nm12MGI5Ym01</t>
  </si>
  <si>
    <t>landscape, flowers, grass</t>
  </si>
  <si>
    <t>https://www.instagram.com/fermin.garcia.sevillaartist?igsh=MXE1ZnJuZ28xa2RhMg==</t>
  </si>
  <si>
    <t>https://www.instagram.com/p/DS46sWajEKe/?img_index=6&amp;igsh=MTZzeHY2NHNvN3B2bg==</t>
  </si>
  <si>
    <t>landscape, moon, grass, houses</t>
  </si>
  <si>
    <t>https://www.instagram.com/edycardona_official?igsh=MXZmNDE3Njc2dG9jeQ==</t>
  </si>
  <si>
    <t>#aiartworks</t>
  </si>
  <si>
    <t>https://www.instagram.com/p/DTD6ISFD4Q-/?img_index=3&amp;igsh=MXVvMWxya2FndWs2bw==</t>
  </si>
  <si>
    <t>mountains, snow</t>
  </si>
  <si>
    <t>https://www.instagram.com/artbyanastasiia?igsh=MTh2M3R4eGE1Z2RkOA==</t>
  </si>
  <si>
    <t>https://www.instagram.com/p/DT5TuKfjWvD/?igsh=c3k4czdhMnZlaTg4</t>
  </si>
  <si>
    <t>https://www.instagram.com/spchowdhuryphotography?igsh=OHRvZW9zaDQwZ20w</t>
  </si>
  <si>
    <t>#aiartcomm</t>
  </si>
  <si>
    <t>https://www.instagram.com/p/CzWZhRMPvrq/?igsh=MW5lOWlmN2ZsdmRqeA==</t>
  </si>
  <si>
    <t>painting, girl, leaves</t>
  </si>
  <si>
    <t>https://www.instagram.com/madhusingharts?igsh=MW1nMm1uOWF4bzI5</t>
  </si>
  <si>
    <t>https://www.instagram.com/p/DPZX0snCLqL/?igsh=MWt4cDI2OXN2OTF1bw==</t>
  </si>
  <si>
    <t>cartoon girl, leaves</t>
  </si>
  <si>
    <t>https://www.instagram.com/annaiart22fantasy?igsh=emN5azA2ZjJkeHNp</t>
  </si>
  <si>
    <t>#aiartoninstagram</t>
  </si>
  <si>
    <t>https://www.instagram.com/p/C5-XuYytQJA/?igsh=MTZoN2o2dm56dzlidQ==</t>
  </si>
  <si>
    <t>disney, painting</t>
  </si>
  <si>
    <t>https://www.instagram.com/johanna._.colo?igsh=MTFkdWFxdWl2dmt0cw==</t>
  </si>
  <si>
    <t>https://www.instagram.com/p/DVD1_XvCDTi/?igsh=cnBpMzlsc3ppNWZr</t>
  </si>
  <si>
    <t>wall-e, fantasy movie</t>
  </si>
  <si>
    <t>https://www.instagram.com/deminiart?igsh=MTRrcnQ3MDNyNDV4Zw==</t>
  </si>
  <si>
    <t>https://www.instagram.com/p/DVOsQAMiOGY/?igsh=MXU3MmxieDY5bnRjbQ==</t>
  </si>
  <si>
    <t>cat</t>
  </si>
  <si>
    <t>https://www.instagram.com/raphaelle_iartiste?igsh=MWEwMXNqaGZzcGI5Mg==</t>
  </si>
  <si>
    <t>https://www.instagram.com/p/DLGLX5bIe9Q/?igsh=MTQ4NGZ6Y2YyczlmMg==</t>
  </si>
  <si>
    <t xml:space="preserve">girl with cat </t>
  </si>
  <si>
    <t>https://www.instagram.com/pixiewonderland.ai?igsh=MTlxbzFkNzFrbWgzbA==</t>
  </si>
  <si>
    <t>https://www.instagram.com/p/DU3SuY6CELe/?igsh=dHNxcWxyYWRqNXY5</t>
  </si>
  <si>
    <t>horse</t>
  </si>
  <si>
    <t>https://www.instagram.com/pauliendgraaff?igsh=b283b2RubGdjcW1y</t>
  </si>
  <si>
    <t>https://www.instagram.com/p/DU2oB0uCOGt/?igsh=bzFwZDV1MHZibjJ2</t>
  </si>
  <si>
    <t>horse, fire</t>
  </si>
  <si>
    <t>https://www.instagram.com/lovelycharlize8?igsh=czVpOHQyOGZidWxr</t>
  </si>
  <si>
    <t>https://www.instagram.com/p/DRJ6WbgDHPj/?igsh=MXRqbjlqdGJkd2xueg==</t>
  </si>
  <si>
    <t>fairy</t>
  </si>
  <si>
    <t>https://www.instagram.com/lionas.art?igsh=MXRwaTEzbmdkdW5iOA==</t>
  </si>
  <si>
    <t>https://www.instagram.com/p/DKYASe8Ivyo/?igsh=d2RhdWlwNWhlaHpu</t>
  </si>
  <si>
    <t>https://www.instagram.com/p/DSIYSSbDNd_/?igsh=MTZnNHoycDBwdGt5</t>
  </si>
  <si>
    <t>spiderman drawing</t>
  </si>
  <si>
    <t>https://www.instagram.com/noopsdsart?igsh=MTc5dW9xOW0zNWE5Mw==</t>
  </si>
  <si>
    <t>https://www.instagram.com/p/DRPrkoRDOoZ/?igsh=MXRwdzFqcmt0cjM0Zw==</t>
  </si>
  <si>
    <t>spiderman</t>
  </si>
  <si>
    <t>https://www.instagram.com/wolff_aii?igsh=MW1oaXRjNW1qZmt5dQ==</t>
  </si>
  <si>
    <t>https://www.instagram.com/p/DUSV9KtAh7_/?igsh=dnpnYW95Z3ZwY255</t>
  </si>
  <si>
    <t>dolphin painting</t>
  </si>
  <si>
    <t>https://www.instagram.com/taigavisuals?igsh=MWZ1czRtaGZldTU5OA==</t>
  </si>
  <si>
    <t>https://www.instagram.com/p/DQjRfrPkmrF/?igsh=OWtidDl2MjFhdmo0</t>
  </si>
  <si>
    <t>dolphin</t>
  </si>
  <si>
    <t>https://www.instagram.com/echoes.of.emotion.store?igsh=MzNpYjhzc3VibGts</t>
  </si>
  <si>
    <t>https://www.instagram.com/p/DQ7CQx0gr5i/?igsh=MW82b2Zvc3c1eHY5Zg==</t>
  </si>
  <si>
    <t>cat portrait</t>
  </si>
  <si>
    <t>https://www.instagram.com/silviafreiportraits?igsh=djR3bXRnbzFwcG1x</t>
  </si>
  <si>
    <t>https://www.instagram.com/p/DScKTvjDD6e/?igsh=MW1yOXh0NXpxeHFkZA==</t>
  </si>
  <si>
    <t>cat, christmas</t>
  </si>
  <si>
    <t>https://www.instagram.com/johfaanny?igsh=bWkwaDJscXY0dWQw</t>
  </si>
  <si>
    <t>DS2rkiZDz2c</t>
  </si>
  <si>
    <t>https://www.instagram.com/p/DS2rkiZDz2c/</t>
  </si>
  <si>
    <t>beauty, woman, pretty, model</t>
  </si>
  <si>
    <t>https://www.instagram.com/kendalljenner/</t>
  </si>
  <si>
    <t>DSlL18bDEhJ</t>
  </si>
  <si>
    <t>https://www.instagram.com/p/DSlL18bDEhJ/</t>
  </si>
  <si>
    <t>beauty, women, red bow, beautiful</t>
  </si>
  <si>
    <t>https://www.instagram.com/gabriellai_art/</t>
  </si>
  <si>
    <t>#aiartist</t>
  </si>
  <si>
    <t>DUyPt9VjsQ5</t>
  </si>
  <si>
    <t>https://www.instagram.com/reels/DUyPt9VjsQ5/</t>
  </si>
  <si>
    <t>Reel</t>
  </si>
  <si>
    <t>City, cinematic, New York, NYC, Cars, night, skyscrapers</t>
  </si>
  <si>
    <t>https://www.instagram.com/raylivez</t>
  </si>
  <si>
    <t>DRhZaJnASMQ</t>
  </si>
  <si>
    <t>https://www.instagram.com/reels/DRhZaJnASMQ/</t>
  </si>
  <si>
    <t>Alien invasion, cars, buildings, clouds, skyscrapers, city, people, running</t>
  </si>
  <si>
    <t>https://www.instagram.com/ssulsin.t/</t>
  </si>
  <si>
    <t>DMdI1V1x-FB</t>
  </si>
  <si>
    <t>https://www.instagram.com/reels/DMdI1V1x-FB/</t>
  </si>
  <si>
    <t>dreams, shine, brilliant, brilliance, cloud lovers, cloud, paradise, aesthetic, sunset</t>
  </si>
  <si>
    <t>https://www.instagram.com/lofipassion/</t>
  </si>
  <si>
    <t>DLSxcoJNlxg</t>
  </si>
  <si>
    <t>https://www.instagram.com/reels/DLSxcoJNlxg/</t>
  </si>
  <si>
    <t>clouds, dream, fly, wake</t>
  </si>
  <si>
    <t>https://www.instagram.com/analogmirage/</t>
  </si>
  <si>
    <t>DUf6bsWAXBE</t>
  </si>
  <si>
    <t>https://www.instagram.com/reels/DUf6bsWAXBE/</t>
  </si>
  <si>
    <t>crane, offspring, wildlife, innocence, happy</t>
  </si>
  <si>
    <t>https://www.instagram.com/peanut.chu.adventures/reels/</t>
  </si>
  <si>
    <t>DEglt6Xy4zZ</t>
  </si>
  <si>
    <t>http://instagram.com/reels/DEglt6Xy4zZ/</t>
  </si>
  <si>
    <t>crane, sunset, waters, peace</t>
  </si>
  <si>
    <t>https://www.instagram.com/digitalartsensei/</t>
  </si>
  <si>
    <t>DU4prPtDcDC</t>
  </si>
  <si>
    <t>https://www.instagram.com/reels/DU4prPtDcDC/</t>
  </si>
  <si>
    <t>waters, green, trees, night, dream</t>
  </si>
  <si>
    <t>https://www.instagram.com/coolacloy</t>
  </si>
  <si>
    <t>CikP68Ej7du</t>
  </si>
  <si>
    <t>https://www.instagram.com/reels/CikP68Ej7du/</t>
  </si>
  <si>
    <t>night, dream, heaven, green</t>
  </si>
  <si>
    <t>https://www.instagram.com/astra.ex.machina/</t>
  </si>
  <si>
    <t>#aiart</t>
  </si>
  <si>
    <t>Cn0U3pipNXd</t>
  </si>
  <si>
    <t>https://www.instagram.com/reels/Cn0U3pipNXd/</t>
  </si>
  <si>
    <t>City, New York, peace, serenity, bridge, night, life, NYC</t>
  </si>
  <si>
    <t>https://www.instagram.com/nyclovesnyc/</t>
  </si>
  <si>
    <t>C3oeAHmu5gB</t>
  </si>
  <si>
    <t>https://www.instagram.com/reels/C3oeAHmu5gB/</t>
  </si>
  <si>
    <t>night, serenity, peace, calm</t>
  </si>
  <si>
    <t>https://www.instagram.com/codex_401</t>
  </si>
  <si>
    <t>DCo8_2DRKy_</t>
  </si>
  <si>
    <t>https://www.instagram.com/reels/DCo8_2DRKy_/</t>
  </si>
  <si>
    <t>Freedom, women, serenity, peace, bird</t>
  </si>
  <si>
    <t>https://www.instagram.com/irina_vylezhnina_/</t>
  </si>
  <si>
    <t>DOtnkYcCt1X</t>
  </si>
  <si>
    <t>https://www.instagram.com/reels/DOtnkYcCt1X/</t>
  </si>
  <si>
    <t>freedom, little girl, shadow, childhood, bird</t>
  </si>
  <si>
    <t>https://www.instagram.com/farzan.soufi</t>
  </si>
  <si>
    <t>DULiw0HjQcG</t>
  </si>
  <si>
    <t>https://www.instagram.com/p/DULiw0HjQcG/</t>
  </si>
  <si>
    <t>eyes, blue, iris, photography</t>
  </si>
  <si>
    <t>https://www.instagram.com/grizzl.vision</t>
  </si>
  <si>
    <t>DRSGIcZEQRC</t>
  </si>
  <si>
    <t>https://www.instagram.com/reels/DRSGIcZEQRC/</t>
  </si>
  <si>
    <t>eyes, blue</t>
  </si>
  <si>
    <t>https://www.instagram.com/viktor.ia.art/</t>
  </si>
  <si>
    <t>#aiartisart</t>
  </si>
  <si>
    <t>https://www.instagram.com/p/DPl8zFJCG_-</t>
  </si>
  <si>
    <t>cat, morning, happy</t>
  </si>
  <si>
    <t>https://www.instagram.com/catsarethelove_/</t>
  </si>
  <si>
    <t>CqW9uyIsXFJ</t>
  </si>
  <si>
    <t>https://www.instagram.com/p/CqW9uyIsXFJ</t>
  </si>
  <si>
    <t>cat, king, blue, royal</t>
  </si>
  <si>
    <t>https://www.instagram.com/creativemobs/</t>
  </si>
  <si>
    <t>CLR_n4pH0O5</t>
  </si>
  <si>
    <t>https://www.instagram.com/reels/CLR_n4pH0O5/</t>
  </si>
  <si>
    <t>couple, white gown, wedding, souls, endless</t>
  </si>
  <si>
    <t>https://www.instagram.com/beraofficial/</t>
  </si>
  <si>
    <t>DTCBCWEEWGC</t>
  </si>
  <si>
    <t>https://www.instagram.com/reels/DTCBCWEEWGC/</t>
  </si>
  <si>
    <t>love, couple, ancient, souls, endless, horizon, mountains, white</t>
  </si>
  <si>
    <t>https://www.instagram.com/yas_ai_creations</t>
  </si>
  <si>
    <t>https://www.instagram.com/p/DMKbF9jiE18/?utm_source=ig_web_copy_link&amp;igsh=MzRlODBiNWFlZA==</t>
  </si>
  <si>
    <t>canvas painting, realistic, portrait, vivid</t>
  </si>
  <si>
    <t>https://www.instagram.com/art_by_grusdar/</t>
  </si>
  <si>
    <t>https://www.instagram.com/p/DT2lgb4k5Qe/?utm_source=ig_web_copy_link&amp;igsh=MzRlODBiNWFlZA==</t>
  </si>
  <si>
    <t>https://www.instagram.com/aralia.art/</t>
  </si>
  <si>
    <t>#aiartportrait #aiart</t>
  </si>
  <si>
    <t>https://www.instagram.com/p/DSQphyuDFC1/?utm_source=ig_web_copy_link&amp;igsh=MzRlODBiNWFlZA==</t>
  </si>
  <si>
    <t>ink illustration, movie scene, comic style</t>
  </si>
  <si>
    <t>https://www.instagram.com/lk_inks/</t>
  </si>
  <si>
    <t>https://www.instagram.com/p/DUlMAD2lRix/?utm_source=ig_web_copy_link&amp;igsh=MzRlODBiNWFlZA==</t>
  </si>
  <si>
    <t>TV Show (Wednesday Addams) style, realistic painted portrait</t>
  </si>
  <si>
    <t>#aiartportrait #aiartcommunity</t>
  </si>
  <si>
    <t>https://www.instagram.com/p/C_aGVOMymRL/?utm_source=ig_web_copy_link&amp;igsh=MzRlODBiNWFlZA==</t>
  </si>
  <si>
    <t>Sketch, headshot portrait, realistic</t>
  </si>
  <si>
    <t>https://www.instagram.com/portrait_abc/</t>
  </si>
  <si>
    <t>https://www.instagram.com/p/DTv9sJGjD7-/?utm_source=ig_web_copy_link&amp;igsh=MzRlODBiNWFlZA==</t>
  </si>
  <si>
    <t>historical photograph, realistic looking, portrait, vivid colors</t>
  </si>
  <si>
    <t>#aiartportrait #aipainting</t>
  </si>
  <si>
    <t>https://www.instagram.com/p/DL41F9qgFZX/?utm_source=ig_web_copy_link&amp;igsh=MzRlODBiNWFlZA==</t>
  </si>
  <si>
    <t>Digital art, ink, movie character portrait, comic style</t>
  </si>
  <si>
    <t>https://www.instagram.com/justralphy/</t>
  </si>
  <si>
    <t>https://www.instagram.com/p/DR2OG7qEjMb/?utm_source=ig_web_copy_link&amp;igsh=MzRlODBiNWFlZA==</t>
  </si>
  <si>
    <t>movie character photo portrait in different styles</t>
  </si>
  <si>
    <t>https://www.instagram.com/thefantasycreatures/</t>
  </si>
  <si>
    <t>#aiartgenerator #aiartgallery</t>
  </si>
  <si>
    <t>https://www.instagram.com/p/DC40mMHy_a0/?utm_source=ig_web_copy_link&amp;igsh=MzRlODBiNWFlZA==</t>
  </si>
  <si>
    <t>Digital art, movie character, realistic, painting</t>
  </si>
  <si>
    <t>https://www.instagram.com/marveldsign/</t>
  </si>
  <si>
    <t>https://www.instagram.com/p/DSLEWPjkgrL/?utm_source=ig_web_copy_link&amp;igsh=MzRlODBiNWFlZA==</t>
  </si>
  <si>
    <t>different movie characters mashup, realistic photo</t>
  </si>
  <si>
    <t>https://www.instagram.com/p/DSqevPEkjKs/?utm_source=ig_web_copy_link&amp;igsh=MzRlODBiNWFlZA==</t>
  </si>
  <si>
    <t>Digital art, realistic, spartan warrior</t>
  </si>
  <si>
    <t>https://www.instagram.com/senpaicrusade/</t>
  </si>
  <si>
    <t>https://www.instagram.com/p/DR2Y8p9giTt/?utm_source=ig_web_copy_link&amp;igsh=MzRlODBiNWFlZA==</t>
  </si>
  <si>
    <t>realistic historical medieval photo, knights, army</t>
  </si>
  <si>
    <t>https://www.instagram.com/fantasy_ai_author/</t>
  </si>
  <si>
    <t>#aiartist #aiart #aifantasy</t>
  </si>
  <si>
    <t>DUEPtomjEPe</t>
  </si>
  <si>
    <t>https://www.instagram.com/p/DUEPtomjEPe/?utm_source=ig_web_copy_link&amp;igsh=MzRlODBiNWFlZA==</t>
  </si>
  <si>
    <t>surrealist, digital art, realistic</t>
  </si>
  <si>
    <t>https://www.instagram.com/grace_green_space/</t>
  </si>
  <si>
    <t>https://www.instagram.com/p/DMV_EO1N3qS/?utm_source=ig_web_copy_link&amp;igsh=MzRlODBiNWFlZA==</t>
  </si>
  <si>
    <t>realistic surrealism, symbolic, human sculptures</t>
  </si>
  <si>
    <t>https://www.instagram.com/iamai_art/</t>
  </si>
  <si>
    <t>#aiartgallery #aiart</t>
  </si>
  <si>
    <t>DKpBG-Ju0U7</t>
  </si>
  <si>
    <t>https://www.instagram.com/p/DKpBG-Ju0U7/?utm_source=ig_web_copy_link&amp;igsh=NTc4MTIwNjQ2YQ==</t>
  </si>
  <si>
    <t>surrealist, digital art, human sculpture</t>
  </si>
  <si>
    <t>https://www.instagram.com/surrealistly/</t>
  </si>
  <si>
    <t>https://www.instagram.com/p/DQGSvs-DDyl/?utm_source=ig_web_copy_link&amp;igsh=MzRlODBiNWFlZA==</t>
  </si>
  <si>
    <t>realistic surrealism, symbolic, human sculpture</t>
  </si>
  <si>
    <t>https://www.instagram.com/unlimited_dreams_of_ai/</t>
  </si>
  <si>
    <t>#aiartgallery #aiartgenerator #aiart</t>
  </si>
  <si>
    <t>https://www.instagram.com/p/CognJlkJbtU/?utm_source=ig_web_copy_link&amp;igsh=NTc4MTIwNjQ2YQ==</t>
  </si>
  <si>
    <t>supercar photograph, futuristic</t>
  </si>
  <si>
    <t>https://www.instagram.com/nr_sho13/</t>
  </si>
  <si>
    <t>https://www.instagram.com/p/DSad9F2jfva/?utm_source=ig_web_copy_link&amp;igsh=NTc4MTIwNjQ2YQ==</t>
  </si>
  <si>
    <t>realistic photograph, exotic car, futuristic</t>
  </si>
  <si>
    <t>https://www.instagram.com/robertaidol/</t>
  </si>
  <si>
    <t>https://www.instagram.com/p/DPor_WlDO4I/</t>
  </si>
  <si>
    <t>canvas painting, portrait, realistic</t>
  </si>
  <si>
    <t>https://www.instagram.com/cedric_thouvenel/?g=5</t>
  </si>
  <si>
    <t>https://www.instagram.com/p/DSlL18bDEhJ/?utm_source=ig_web_copy_link&amp;igsh=MzRlODBiNWFlZA==</t>
  </si>
  <si>
    <t>#aiartist #aiportrait</t>
  </si>
  <si>
    <t>Post ID (DO NOT EDIT COL)</t>
  </si>
  <si>
    <t>So beautiful ❣️</t>
  </si>
  <si>
    <t>Such a relaxing atmosphere. I love to be alone with this majestic view.</t>
  </si>
  <si>
    <t>It's so soothing 😍😍😍</t>
  </si>
  <si>
    <t>🔥❤️</t>
  </si>
  <si>
    <t>😍😍❤️❤️</t>
  </si>
  <si>
    <t>😍😍😍😍😍🤍💕</t>
  </si>
  <si>
    <t>❤️❤️❤️❤️❤️</t>
  </si>
  <si>
    <t>Happy Thursday!😍</t>
  </si>
  <si>
    <t>This looks so calm and peaceful, but let's be real—if I sat by a pond like this, mosquitoes would ruin the vibe in two seconds flat.</t>
  </si>
  <si>
    <t>Beautiful artwork 😍</t>
  </si>
  <si>
    <t>Love it 🤩</t>
  </si>
  <si>
    <t>❤️💕🤍💚💗</t>
  </si>
  <si>
    <t>❤️❤️</t>
  </si>
  <si>
    <t>❤️</t>
  </si>
  <si>
    <t>🙄😎</t>
  </si>
  <si>
    <t>😊😊😊</t>
  </si>
  <si>
    <t>💕</t>
  </si>
  <si>
    <t>💚💚💚</t>
  </si>
  <si>
    <t>Your style is unmatched ! 🫶</t>
  </si>
  <si>
    <t>😍👏</t>
  </si>
  <si>
    <t>😮😍</t>
  </si>
  <si>
    <t>🔥🔥🔥</t>
  </si>
  <si>
    <t>😍😍😍😍😍😍😍😍😍</t>
  </si>
  <si>
    <t>So Lovely 😍❤️</t>
  </si>
  <si>
    <t>❤️❤️❤️❤️❤️❤️</t>
  </si>
  <si>
    <t>👏👌🏻</t>
  </si>
  <si>
    <t>❤️❤️❤️❤️💚</t>
  </si>
  <si>
    <t>💗</t>
  </si>
  <si>
    <t>😍</t>
  </si>
  <si>
    <t>👍👍👍👍</t>
  </si>
  <si>
    <t>😍😍😍😍😍</t>
  </si>
  <si>
    <t>❤️❤️❤️</t>
  </si>
  <si>
    <t>🤍✨🤍</t>
  </si>
  <si>
    <t>😍😍😍</t>
  </si>
  <si>
    <t>😍😍😍😍</t>
  </si>
  <si>
    <t>💗💕💗💕💗💕💗💕💗💕💗</t>
  </si>
  <si>
    <t>These pictures gave me so much peach 💚</t>
  </si>
  <si>
    <t>😍😍</t>
  </si>
  <si>
    <t>You soul will be peace and pleasant in your life. 😍😍😍</t>
  </si>
  <si>
    <t>😩</t>
  </si>
  <si>
    <t>Literally made my jaw drop</t>
  </si>
  <si>
    <t>She is my imaginary girl 🙂‍↔️</t>
  </si>
  <si>
    <t>Please provide me some prompts for this type of images.</t>
  </si>
  <si>
    <t>💕💕</t>
  </si>
  <si>
    <t>How it can be full frame</t>
  </si>
  <si>
    <t>❤️❤️❤️❤️❤️❤️❤️</t>
  </si>
  <si>
    <t>Healing💕</t>
  </si>
  <si>
    <t>💕💕💕</t>
  </si>
  <si>
    <t>This is peace 💚</t>
  </si>
  <si>
    <t>🤍🤍🤍</t>
  </si>
  <si>
    <t>DVMb9kqElDz</t>
  </si>
  <si>
    <t>Simply outstanding 🔥🔥🔥</t>
  </si>
  <si>
    <t>🔥😍🔥😍😍🔥😍👏</t>
  </si>
  <si>
    <t>Out standind❤️</t>
  </si>
  <si>
    <t>🔥🙌</t>
  </si>
  <si>
    <t>These are stunning images,  dear Katie💞💙💜💙💞</t>
  </si>
  <si>
    <t>Absolutely incredible 🔥🔥</t>
  </si>
  <si>
    <t>Gorgeous! What’s Niji?👏👏👏💟💫</t>
  </si>
  <si>
    <t>Incredible 😮😍🔥</t>
  </si>
  <si>
    <t>❤️🌹❤️</t>
  </si>
  <si>
    <t>🔥😍😍😍</t>
  </si>
  <si>
    <t>😍😍😍😍😍😍😍❤️❤️❤️😮😮😮</t>
  </si>
  <si>
    <t>Absofuckenlutely love it !</t>
  </si>
  <si>
    <t>Wow I'd love to have these as my phone wallpaper 🔥🙌</t>
  </si>
  <si>
    <t>I love these🔥🔥🔥🔥</t>
  </si>
  <si>
    <t>Top</t>
  </si>
  <si>
    <t>✨✨✨💜✨✨✨</t>
  </si>
  <si>
    <t>👏👏👏🔥🔥🔥❤️❤️ Awesomeness!!! Love them!! 😍</t>
  </si>
  <si>
    <t>Wow, these are pretty cool mate🔥🙌</t>
  </si>
  <si>
    <t>My soul reaper Waiting for u</t>
  </si>
  <si>
    <t>🔥🔥🔥🔥🔥🌀👑🌀☯️♾️⚛️⭐☀️💫🌙💥💥💥💥💥</t>
  </si>
  <si>
    <t>Absolutely fantastic such artistry I salute you......</t>
  </si>
  <si>
    <t>🔥🔥🔥🔥🔥🔥</t>
  </si>
  <si>
    <t>👏👏👏👏👏👏</t>
  </si>
  <si>
    <t>Wow that's great dear 😍😍😍</t>
  </si>
  <si>
    <t>🔥🔥🔥🔥🔥🔥🔥</t>
  </si>
  <si>
    <t>🔥👏🔥🙌💜💜💜✌️🌊🌠</t>
  </si>
  <si>
    <t>🔥🔥🔥🔥</t>
  </si>
  <si>
    <t>Amazing work 💯 your art style is unique and ideas are beyond words ⭐</t>
  </si>
  <si>
    <t>Absoluty beautiful 😍🔥🔥😍</t>
  </si>
  <si>
    <t>Incredible set🔥🔥🔥</t>
  </si>
  <si>
    <t>👍👍👍👏👏</t>
  </si>
  <si>
    <t>Woahhhh!! Breathtaking 😍</t>
  </si>
  <si>
    <t>Incredible work 🔥🔥🔥</t>
  </si>
  <si>
    <t>Stunning artworks🔥🔥🔥🔥🔥🔥</t>
  </si>
  <si>
    <t>Magical work🔥🔥🔥</t>
  </si>
  <si>
    <t>Wooow 🔥🔥🔥 marvelous</t>
  </si>
  <si>
    <t>Absolutly awesome work Katie. So very powerful.💜</t>
  </si>
  <si>
    <t>😍😍🔥</t>
  </si>
  <si>
    <t>Very beautiful 😍</t>
  </si>
  <si>
    <t>Incredible 😮😮😮😮</t>
  </si>
  <si>
    <t>Wowww fantastic!!!!😍😍😍😍😍😍</t>
  </si>
  <si>
    <t>I really like those moons amd scythes😍🔥🔥</t>
  </si>
  <si>
    <t>Yet another testament to your extraordinary vision.”✨✨</t>
  </si>
  <si>
    <t>DNSWhv1uGjZ</t>
  </si>
  <si>
    <t>Oh darling, say👏it👏louder👏. Your vibe and art are clearly powerful - which some people just can’t handle.  YOU’RE AMAZING! SO IS YOUR ART! Big hugs 💖💜💖💜💖💜💖</t>
  </si>
  <si>
    <t>Yes please, beautiful soul! 💖 Always community over competition. We’re each so uniquely made—meant to be cherished, not threatened. And I’ve actually listened to Lunchbox Friends so many times when I’ve felt the sting of unkindness too 🥰💖 Your energy and art are such a gift♥️ sending love always ✨</t>
  </si>
  <si>
    <t>Preaching the truth💖💖💖</t>
  </si>
  <si>
    <t>Powerful words under beautiful pieces. I’m glad you’re here and I’m sorry that’s been your experience recently.</t>
  </si>
  <si>
    <t>So true!!! Thank you for your words 💫 Lets shine together 💎</t>
  </si>
  <si>
    <t>Beautiful said and couldn't agree more💖💖💖💖💖</t>
  </si>
  <si>
    <t>Awww I could tell you were a sweetheart, I think you’re great and I love your work! 💖💖💖</t>
  </si>
  <si>
    <t>So well said mandee for real🫂🙌❤️...you talented you creative &amp; you friendly , I'm glad I'm not the only one that noticed this toxic narcissist ego trip some of them...and you not alone we support you and see you 🔥🙌❤️</t>
  </si>
  <si>
    <t>☺️🩷</t>
  </si>
  <si>
    <t>It’s nice to see real talk 💖 and well said ❤️‍🔥✨</t>
  </si>
  <si>
    <t>Looking at beautiful pictures lifts my spirits 😆❤️❤️❤️</t>
  </si>
  <si>
    <t>My lord. This is stunning 💖💖💖</t>
  </si>
  <si>
    <t>👏🏾👏🏾👏🏾</t>
  </si>
  <si>
    <t>Keep up the amazing work!! Love ya and will be a supporter of yours til the end 🩷🔪</t>
  </si>
  <si>
    <t>You come out with amazing art creations consistently, and that makes people hate out of jealousy! No le hagas caso a las amargadas pendejas envidiosas! Tu energia cuesta mas que ellas!❤️‍🔥✨️Eres unica - Amo todas tus magnificas creaciones! YOU ARE A MAGICAL FORCE OF LIGHT✨️🌟💖</t>
  </si>
  <si>
    <t>Yes!! You are 🔥 don’t let anyone extinguish your light! Keep burning bright my sweetness!💕</t>
  </si>
  <si>
    <t>❤️❤️❤️🔥🔥</t>
  </si>
  <si>
    <t>Real talk 🔥🔥🔥 keep shinning and doing you</t>
  </si>
  <si>
    <t>Beautifully said girlfriend. Did i mention the art? 😍. Your authenticity is your freedom girly. I love this</t>
  </si>
  <si>
    <t>Yeah Youre right 👏🙌💖💖</t>
  </si>
  <si>
    <t>Bringing a microphone.. louder for those in the back! Well said 💖💖💖💖👏👏</t>
  </si>
  <si>
    <t>👏👏👏👏</t>
  </si>
  <si>
    <t>🖤 you're a Phenomenal talented woman inside &amp; out &amp; if they can't see that then they're missing out on all the greatness that's within yuh Queen 💅🏽 I'm glad I came across your page, yuh match my aura &amp; inner &amp; outer aesthetic &amp; I'm here to stay as a loyal follower darling 💋</t>
  </si>
  <si>
    <t>There’s plenty space for all of us because there’s a whole universe inside of everyone, creativity is infinite and I think every single person has million of ideas to explore 👏</t>
  </si>
  <si>
    <t>Gorgeous</t>
  </si>
  <si>
    <t>Beautiful!!</t>
  </si>
  <si>
    <t>DMyBan2tx-f</t>
  </si>
  <si>
    <t>❤️❤️😍</t>
  </si>
  <si>
    <t>If I ever see a telephone booth again, I’ll feel exactly like this inside 🙌</t>
  </si>
  <si>
    <t>✨💫</t>
  </si>
  <si>
    <t>🌺❤️💗🍁💐🌹</t>
  </si>
  <si>
    <t>Your work is incrdible 😍😍</t>
  </si>
  <si>
    <t>❤️🔥❤️</t>
  </si>
  <si>
    <t>💖💖💖</t>
  </si>
  <si>
    <t>You have lovely, wonderful and eye-capturing creations.</t>
  </si>
  <si>
    <t>So beautiful ❤️</t>
  </si>
  <si>
    <t>🩷🩷💚💚🩵🩵</t>
  </si>
  <si>
    <t>Incredible 😍😍😍</t>
  </si>
  <si>
    <t>I really like the idea! Do you mind if I take inspiration from your work?❤️</t>
  </si>
  <si>
    <t>By AI or real paint by human?</t>
  </si>
  <si>
    <t>Your phone booth is so cute!</t>
  </si>
  <si>
    <t>❤️🙃🥰🙃🥰♥️</t>
  </si>
  <si>
    <t>So beautiful 😍😍👏</t>
  </si>
  <si>
    <t>DHOa6Ajt1dq</t>
  </si>
  <si>
    <t>Adore this job 😍 sea horse so beautiful 💫</t>
  </si>
  <si>
    <t>Wow beautiful</t>
  </si>
  <si>
    <t>Very cool!</t>
  </si>
  <si>
    <t>Hermoso 💚</t>
  </si>
  <si>
    <t>😍😍😍😍😍😍😍</t>
  </si>
  <si>
    <t>Very beautiful ❤️❤️❤️</t>
  </si>
  <si>
    <t>This is great 🙌❤️🙏🏼</t>
  </si>
  <si>
    <t>😍😍😍🔥🔥🔥🔥🔥🔥🔥🔥🔥😮</t>
  </si>
  <si>
    <t>I want that</t>
  </si>
  <si>
    <t>😍😮😮😮😮😮😍😍😍😍😍😍</t>
  </si>
  <si>
    <t>Que hermoso ❤️❤️❤️❤️</t>
  </si>
  <si>
    <t>Can you make this clip a tad longer with the song? Gorgeous!</t>
  </si>
  <si>
    <t>Need more shrimps 🦐</t>
  </si>
  <si>
    <t>😍😍😍😍😍😍😍😍😍😍❤️❤️❤️❤️❤️❤️❤️❤️❤️</t>
  </si>
  <si>
    <t>Hermoso</t>
  </si>
  <si>
    <t>So beautiful 😍❤️</t>
  </si>
  <si>
    <t>😍😍😍😍😍😍🔥🔥🔥🙌🙌</t>
  </si>
  <si>
    <t>This is so creative😍😍</t>
  </si>
  <si>
    <t>❤️❤️❤️❤️❤️🔥🔥🔥🔥🔥🔥🔥😢😢😢😢😢</t>
  </si>
  <si>
    <t>I want more sea animals 😂</t>
  </si>
  <si>
    <t>The light reflecting is a galaxy of colours. 🌌</t>
  </si>
  <si>
    <t>👏👏👏👏👏</t>
  </si>
  <si>
    <t>sea horse DIAMOND🔥</t>
  </si>
  <si>
    <t>🔥🔥🔥🔥🔥👏👏👏👏👏👏</t>
  </si>
  <si>
    <t>🔥</t>
  </si>
  <si>
    <t>Ok Beautiful Crystals 🔥🔥🔥Always a crowd pleaser 🔥🔥🔥</t>
  </si>
  <si>
    <t>TWINKLE TWINKLE  DIAMOND’S LIGHT’</t>
  </si>
  <si>
    <t>😍🔥</t>
  </si>
  <si>
    <t>😮😮😮😮</t>
  </si>
  <si>
    <t>❤️❤️❤️❤️❤️😍😍😍😍😍😍</t>
  </si>
  <si>
    <t>👏👏👏</t>
  </si>
  <si>
    <t>I love sea horses</t>
  </si>
  <si>
    <t>Oh wow it’s so beautiful that Christal seahorse😍😍😍</t>
  </si>
  <si>
    <t>❤️❤️❤️❤️❤️❤️❤️❤️❤️</t>
  </si>
  <si>
    <t>🖤💛❤️🌹</t>
  </si>
  <si>
    <t>😍😍❤️😍❤️😍❤️😍❤️😍😍</t>
  </si>
  <si>
    <t>This is absolutely stunning! The detail and sparkle are incredible. What AI tool did you use to create this? ✨</t>
  </si>
  <si>
    <t>🔥🔥🔥🔥❤️</t>
  </si>
  <si>
    <t>This is such an impressive piece! The details and the way the light reflects off the crystals make it feel alive. I'd love to learn more about your process. Counting down the days until I can see more from your collection!</t>
  </si>
  <si>
    <t>❤️❤️❤️❤️</t>
  </si>
  <si>
    <t>C0sQkLEPkyC</t>
  </si>
  <si>
    <t>That's why the kids have to be in bed! 😮👏👏</t>
  </si>
  <si>
    <t>🤣😂🤣🙈🎅🏽🎄💀</t>
  </si>
  <si>
    <t>🌲⭐️</t>
  </si>
  <si>
    <t>This is metal 🤘</t>
  </si>
  <si>
    <t>Yesss bro this is it</t>
  </si>
  <si>
    <t>I think 2 sleighs 🤘</t>
  </si>
  <si>
    <t>Damnnnn these are so cool haha will love to ride on those badass sleigh 😂😍🙌</t>
  </si>
  <si>
    <t>These are incredible</t>
  </si>
  <si>
    <t>Is this what santa rides when he's delivering coal to satan in hell?</t>
  </si>
  <si>
    <t>Love it 🔥🔥</t>
  </si>
  <si>
    <t>DQcyILfj1Nx</t>
  </si>
  <si>
    <t>🤍🤍🌟🙌🖤</t>
  </si>
  <si>
    <t>👏👏</t>
  </si>
  <si>
    <t>🔥🖤🤍🖤</t>
  </si>
  <si>
    <t>This is super cool work as always 😍😍</t>
  </si>
  <si>
    <t>Looove this 🔥🔥🔥</t>
  </si>
  <si>
    <t>🙌👏👏👏👏👏👏👏👏</t>
  </si>
  <si>
    <t>Love this! The light spots in pic 2 add such a warm glow 😍</t>
  </si>
  <si>
    <t>🤍🤍💥</t>
  </si>
  <si>
    <t>🖤👏🔥</t>
  </si>
  <si>
    <t>Classic wheels in these visual scenes, shakes as sculpture in the snow 🔥</t>
  </si>
  <si>
    <t>🔥🔥🔥🔥🔥</t>
  </si>
  <si>
    <t>Love this</t>
  </si>
  <si>
    <t>I prefer them to be tirelessly wrapped as well… much better than crowding the roads...</t>
  </si>
  <si>
    <t>😍👏👏</t>
  </si>
  <si>
    <t>DQhcx5VDMHT</t>
  </si>
  <si>
    <t>😮</t>
  </si>
  <si>
    <t>👏❤️🔥</t>
  </si>
  <si>
    <t>Oh, that is a happy soul! 😊</t>
  </si>
  <si>
    <t>🔥🔥</t>
  </si>
  <si>
    <t>The smile is soo contagious !!!❤️❤️❤️</t>
  </si>
  <si>
    <t>So uplifting 😍😍😍</t>
  </si>
  <si>
    <t>Oh she's lovely</t>
  </si>
  <si>
    <t>Ooooh trop chou 👏❤️</t>
  </si>
  <si>
    <t>Lovely piece</t>
  </si>
  <si>
    <t>😍😍😍😍👏👏👏</t>
  </si>
  <si>
    <t>Happy! This made me smile. 😊❤️</t>
  </si>
  <si>
    <t>Stunning.  Is this digital?</t>
  </si>
  <si>
    <t>So beautiful ❤️❤️❤️</t>
  </si>
  <si>
    <t>Watercolor dreams in red</t>
  </si>
  <si>
    <t>❤️❤️👏👏👏❤️❤️</t>
  </si>
  <si>
    <t>Beautiful work ❤️❤️❤️</t>
  </si>
  <si>
    <t>👏👏👏👏👏😍🩷🩷🩷</t>
  </si>
  <si>
    <t>Wow, this is absolutely stunning! 😍✨</t>
  </si>
  <si>
    <t>So lovely and lively! Beautiful art! 👏🏻👏🏻👏🏻♥️♥️</t>
  </si>
  <si>
    <t>😍❤️❤️👏👏</t>
  </si>
  <si>
    <t>😍💕🥰❤️</t>
  </si>
  <si>
    <t>🔥🔥👏👏❤️❤️</t>
  </si>
  <si>
    <t>Totally amazing!!!😍😍😍👏👏</t>
  </si>
  <si>
    <t>😍🔥🔥❤️❤️❤️</t>
  </si>
  <si>
    <t>Love the energy! 🔥 🔥 🔥</t>
  </si>
  <si>
    <t>🧡🩷</t>
  </si>
  <si>
    <t>😍❤️😍❤️😍❤️❤️</t>
  </si>
  <si>
    <t>🧡🩷💛</t>
  </si>
  <si>
    <t>👏👏🔥❤️</t>
  </si>
  <si>
    <t>😍😍😍👏👏</t>
  </si>
  <si>
    <t>Incredibly awesome work ❤️❤️❤️❤️😍😍😍👏🔥🔥</t>
  </si>
  <si>
    <t>Gorgeous ❤️❤️</t>
  </si>
  <si>
    <t>👉💯💯💯👈</t>
  </si>
  <si>
    <t>❤️‍🔥😎❤️‍🔥</t>
  </si>
  <si>
    <t>DVYkAyEDF9p</t>
  </si>
  <si>
    <t>👏😍😍😍</t>
  </si>
  <si>
    <t>This is truly a magical work—it doesn’t just capture the eye, but touches the heart 💘 You’ve created a dream where feelings can be felt and soulful heal 🫶 Thank you for making and sharing this with us ✨ Absolutely gorgeous ☀️</t>
  </si>
  <si>
    <t>😍😍👏👏❤️❤️❤️</t>
  </si>
  <si>
    <t>Gorgeous!</t>
  </si>
  <si>
    <t>Co-OeX8tLU-</t>
  </si>
  <si>
    <t>Great work🔥, I love the shapes and colors😍</t>
  </si>
  <si>
    <t>Wow great concept and design</t>
  </si>
  <si>
    <t>Crazy good! Keep it up 👏</t>
  </si>
  <si>
    <t>Wonderful 🔥</t>
  </si>
  <si>
    <t>How did you do it? 😯</t>
  </si>
  <si>
    <t>DS46sWajEKe</t>
  </si>
  <si>
    <t>La obra de arte de Dios es el cielo y la naturaleza sin duda alguna 😍❤️</t>
  </si>
  <si>
    <t>Wow 🔥🔥🔥😍</t>
  </si>
  <si>
    <t>O extraordinário é tão longe, e tão perto ao mesmo tempo ❤️‍🔥</t>
  </si>
  <si>
    <t>O sonho da minha vida morar literalmente no meio do mato🥹😍❤️❤️</t>
  </si>
  <si>
    <t>Que belleza total xd😍❤️</t>
  </si>
  <si>
    <t>😮 yes men</t>
  </si>
  <si>
    <t>🥹🫠😻</t>
  </si>
  <si>
    <t>Vinland Vibes 😭🌟</t>
  </si>
  <si>
    <t>Peaceeeeeee🖤</t>
  </si>
  <si>
    <t>❤️😍</t>
  </si>
  <si>
    <t>اريد العيش هنا😭😣</t>
  </si>
  <si>
    <t>😍😍😍😍👏👏👏😍😍😍</t>
  </si>
  <si>
    <t>Lindíssimo 🌈🌈🌈🌈🌈🏠🏠🏠</t>
  </si>
  <si>
    <t>🧡😍</t>
  </si>
  <si>
    <t>❤️🙌❤️</t>
  </si>
  <si>
    <t>Amo a música e a vibe 😍</t>
  </si>
  <si>
    <t>Nossa 🥹</t>
  </si>
  <si>
    <t>😢😍😍hermoso</t>
  </si>
  <si>
    <t>❤️😍🔥</t>
  </si>
  <si>
    <t>🌄🖤</t>
  </si>
  <si>
    <t>🙌😍</t>
  </si>
  <si>
    <t>🌒😍</t>
  </si>
  <si>
    <t>هذه الدنيا كيف الجنه ؟! 😍</t>
  </si>
  <si>
    <t>عادي اخذهم ؟</t>
  </si>
  <si>
    <t>मेरा सपना था कि मैं इस तरह की जगह पर बस जाऊं😢❤️❤️😍</t>
  </si>
  <si>
    <t>How do you upload such large images? How does the image size get so big?</t>
  </si>
  <si>
    <t>DT5TuKfjWvD</t>
  </si>
  <si>
    <t>👏😍</t>
  </si>
  <si>
    <t>3rd image ❤️</t>
  </si>
  <si>
    <t>so sad</t>
  </si>
  <si>
    <t>😢</t>
  </si>
  <si>
    <t>While I see a distraught penguin, I can't help but applaud (and envy) the courage to make the (tough) call. One might say it's giving up, while it could also be coming to terms with the situations! So much to interpret, so little to infer.</t>
  </si>
  <si>
    <t>The second one is besttt</t>
  </si>
  <si>
    <t>Too good boss!! 🥹</t>
  </si>
  <si>
    <t>😢😢😢esob valo lage na</t>
  </si>
  <si>
    <t>Send me this post 💝✨</t>
  </si>
  <si>
    <t>#spchowdhuryphotography #anatarctica #penguinz0 #depressed #pingu #anarcticadventure #kolkata_lanes #kolkataphotography #cinematicphotography #cinematiclook #cinelook #200mm #16mm #16mmfilm #wildlifephotography #wildlifeplanet #aiartwork #aiartcomm #aiphotographer #aiphotoedit #aiphotoediting #aiartistcommunity</t>
  </si>
  <si>
    <t>The Japanese macaque meme taught me this penguin's story, and it made me very sad and helpless, just like global warming is unstoppable. I couldn't imagine how I could have helped it if I had wanted to. It also reminded me of many BBC documentaries where multiple photographers, watching groups of penguins, wept, thinking about how their species would disappear in a few decades. I wanted to accompany that penguin, to walk with it into the Antarctic interior, to see what it was searching for. I was heartbroken, but there was nothing I could do.</t>
  </si>
  <si>
    <t>Send me this post ✨💖</t>
  </si>
  <si>
    <t>DPZX0snCLqL</t>
  </si>
  <si>
    <t>👏👏👏😍😍</t>
  </si>
  <si>
    <t>🤩 Fantastic! ✨ Love the light(s)!!!!</t>
  </si>
  <si>
    <t>These are absolutely beautiful my dear Annette stunningly stunningly beautiful and christmasy too. ❤️❤️❤️❤️</t>
  </si>
  <si>
    <t>So cute 🔥🔥🧡</t>
  </si>
  <si>
    <t>Stuunninngggg😍😍😍😍😍😍😍</t>
  </si>
  <si>
    <t>Gorgeous😍😍😍</t>
  </si>
  <si>
    <t>Perfect!! ❤️</t>
  </si>
  <si>
    <t>So stunning ❤️❤️❤️</t>
  </si>
  <si>
    <t>so gorgeous ❤️👏</t>
  </si>
  <si>
    <t>So beautiful 🤎❤️🧡💛</t>
  </si>
  <si>
    <t>😮😍😮😍👏😍👏😍❤️😍❤️😍</t>
  </si>
  <si>
    <t>❤️❤️❤️Bellissimo</t>
  </si>
  <si>
    <t>cozy! 🤍🤗🍁🍂</t>
  </si>
  <si>
    <t>Wonderful work my dear ❤️❤️❤️</t>
  </si>
  <si>
    <t>So beautiful😍🍁😍🍁✨</t>
  </si>
  <si>
    <t>😍😍😍👏</t>
  </si>
  <si>
    <t>😍😍 Charming 🧡</t>
  </si>
  <si>
    <t>AMAZING 😍😍😍</t>
  </si>
  <si>
    <t>Simply Magnificent !😍👏🍁✨🍂</t>
  </si>
  <si>
    <t>So cute ❤️❤️</t>
  </si>
  <si>
    <t>So beautiful!! ❤️❤️❤️</t>
  </si>
  <si>
    <t>So beautiful! ☺️</t>
  </si>
  <si>
    <t>Golden hour beauty 😍😍😍 bravo!!!</t>
  </si>
  <si>
    <t>Lovely 🔥🔥🙌😍</t>
  </si>
  <si>
    <t>Very beautiful 😍😍😍</t>
  </si>
  <si>
    <t>I love these! They're all so pretty!</t>
  </si>
  <si>
    <t>Truly captivating🍁🍂❤️💛🧡🍂🍁</t>
  </si>
  <si>
    <t>✨ohhhhh I love when you go glittery, Ann!!! I love the inspiration image and yours are SO beautiful too!!! 😍😍😍</t>
  </si>
  <si>
    <t>Precious 💕💖</t>
  </si>
  <si>
    <t>🔥❤️🔥</t>
  </si>
  <si>
    <t>Really beautiful 🔥🔥🔥🔥😍😍</t>
  </si>
  <si>
    <t>Oh! It's magical ✨️😍</t>
  </si>
  <si>
    <t>absolutely stunning I love your works so much👏🏻😍✨</t>
  </si>
  <si>
    <t>So beautiful 😍</t>
  </si>
  <si>
    <t>Magnifique😍😍😍😍😍</t>
  </si>
  <si>
    <t>So schön und magisch💛👏👏</t>
  </si>
  <si>
    <t>Truly beautiful and so adorable. Wonderful autumn vibes. 🥰🍂🍁🍂💯</t>
  </si>
  <si>
    <t>✨️😍so schön❤️✨️</t>
  </si>
  <si>
    <t>Ich finde diese Arbeit einfach traumhaft, so schöne Farben, tolles Lächeln… wünderschön ❤️❤️❤️</t>
  </si>
  <si>
    <t>Love the warmth and autumn vibe 🍁</t>
  </si>
  <si>
    <t>Sehr hübsch ❤️✨🍁</t>
  </si>
  <si>
    <t>Beautiful 😍</t>
  </si>
  <si>
    <t>Simply beautiful and uplifting.</t>
  </si>
  <si>
    <t>Woooow 🔥🔥🔥😍</t>
  </si>
  <si>
    <t>DVD1_XvCDTi</t>
  </si>
  <si>
    <t>😢😍😍😍</t>
  </si>
  <si>
    <t>Great 😍🔥</t>
  </si>
  <si>
    <t>Awesome</t>
  </si>
  <si>
    <t>🔥🔥😍</t>
  </si>
  <si>
    <t>Cute ❤️</t>
  </si>
  <si>
    <t>😍😍❤️</t>
  </si>
  <si>
    <t>❤️😍❤️😍❤️😍😍</t>
  </si>
  <si>
    <t>Walle❤️😍😍</t>
  </si>
  <si>
    <t>Cutee😍😍😍😍</t>
  </si>
  <si>
    <t>Sweety ❤️</t>
  </si>
  <si>
    <t>Amazing 😍</t>
  </si>
  <si>
    <t>❤️🥰💫</t>
  </si>
  <si>
    <t>❤️❤️😍😍</t>
  </si>
  <si>
    <t>Gorgeous ❤️❤️❤️</t>
  </si>
  <si>
    <t>Great ❤️❤️❤️</t>
  </si>
  <si>
    <t>So cute😍😍😍</t>
  </si>
  <si>
    <t>So lovely set 👏😍</t>
  </si>
  <si>
    <t>Can I have photo number 4? Can you send it to me?</t>
  </si>
  <si>
    <t>Wall E 😍😍</t>
  </si>
  <si>
    <t>💝💝💝</t>
  </si>
  <si>
    <t>❤️❤️❤️😍😍😍</t>
  </si>
  <si>
    <t>😊🤍❤️</t>
  </si>
  <si>
    <t>Absolutely love wall-e!!!!!!😍❤️ beautiful done</t>
  </si>
  <si>
    <t>Absolutely Gorgeous ❤️</t>
  </si>
  <si>
    <t>Awww😍😍😍😍</t>
  </si>
  <si>
    <t>Love Walle-e with beautiful flowers on his head. 💛💛♻️💐💐</t>
  </si>
  <si>
    <t>❤️Sweet sweet Walle E❤️😍</t>
  </si>
  <si>
    <t>🙌🙌🙌 Snd this picture @the._art.factory 🍁</t>
  </si>
  <si>
    <t>DLGLX5bIe9Q</t>
  </si>
  <si>
    <t>Aw I can’t believe I’m just now seeing these! They came out great!</t>
  </si>
  <si>
    <t>Beautiful ❤️❤️❤️❤️❤️</t>
  </si>
  <si>
    <t>Beautifull 💚💚💚💚💚</t>
  </si>
  <si>
    <t>This gives so much dopamine to look at. I love pink</t>
  </si>
  <si>
    <t>Love how the cat change alongside the styling! ❤️</t>
  </si>
  <si>
    <t>Nice! 🔥❤️❤️❤️</t>
  </si>
  <si>
    <t>🩷🩷🩷</t>
  </si>
  <si>
    <t>Mood: locked in. Eyes: definitely still here 👀</t>
  </si>
  <si>
    <t>DU2oB0uCOGt</t>
  </si>
  <si>
    <t>Amazing 🔥🔥🔥</t>
  </si>
  <si>
    <t>Magnifique, je suis admirative devant de créativité 👏👏🔥🔥</t>
  </si>
  <si>
    <t>WOW!!🔥 Really Magnificent set!🔥🔥🐴🌹🔥🔥 Well done!!!🔥🔥👏🏻👏🏻👏🏻👏🏻👏🏻</t>
  </si>
  <si>
    <t>Wow, amazing 🔥🔥🖤🖤😍😍</t>
  </si>
  <si>
    <t>Beautiful work ❤️❤️❤️❤️❤️</t>
  </si>
  <si>
    <t>😍😍beautiful</t>
  </si>
  <si>
    <t>So beautiful 💙💙✨️</t>
  </si>
  <si>
    <t>Absolutely stunning my friend ❤️❤️🔥❤️❤️👏</t>
  </si>
  <si>
    <t>Very beautiful😍😍😍😍😍</t>
  </si>
  <si>
    <t>Awesome 🔥😍🔥😍</t>
  </si>
  <si>
    <t>Amazing work 👍👌👏🔥🔥🔥😍❤️</t>
  </si>
  <si>
    <t>Beautiful work 😍😍👏🔥👏❤️❤️</t>
  </si>
  <si>
    <t>Just amazing as always Charlize! ❤️‍🔥❤️‍🔥❤️‍🔥❤️‍🔥❤️‍🔥</t>
  </si>
  <si>
    <t>Very beautiful 😍🔥🔥🔥</t>
  </si>
  <si>
    <t>Gorgeous 🔥🔥🔥🔥</t>
  </si>
  <si>
    <t>Incredibly gorgeous work, darling 👏👏👏👏❤️❤️❤️🔥🔥🔥🐎🐎🐎🌸🌸🌸</t>
  </si>
  <si>
    <t>🔥🔥🔥 Fire horse year ❤️‍🔥❤️‍🔥❤️‍🔥</t>
  </si>
  <si>
    <t>Fantastic work 😍🔥❤️😍</t>
  </si>
  <si>
    <t>Wow, absolutely fantastic work ❤️‍🔥 ✨ ❤️‍🔥 ✨ ❤️‍🔥</t>
  </si>
  <si>
    <t>Happy New Year!! ❤️❤️🔥🔥❤️❤️</t>
  </si>
  <si>
    <t>👏👏👏🔥🔥🔥🔥👏🔥🔥</t>
  </si>
  <si>
    <t>gorgeous ❤️❤️</t>
  </si>
  <si>
    <t>Love❤️❤️❤️❤️❤️❤️</t>
  </si>
  <si>
    <t>&gt;&lt;&gt;&lt;&gt;&lt;&gt;&lt;Ateş Atı Yılı&lt;&gt;&lt;&gt;&lt;&gt;&lt;&gt; ?¿?¿?¿Miladi Takvim Yılı?¿?¿?¿ ======== 2026 ======== ====İKİBİNYİRMİALTI===== 2=İKİ 0=BİN 2=YİRMİ 6=ALTI</t>
  </si>
  <si>
    <t>DKYASe8Ivyo</t>
  </si>
  <si>
    <t>超綺麗😍♥️💕</t>
  </si>
  <si>
    <t>Fabulous ❤️❤️❤️❤️❤️</t>
  </si>
  <si>
    <t>Breathtaking 😍😍😍</t>
  </si>
  <si>
    <t>So beautiful and magical ❤️❤️❤️😍😍😍</t>
  </si>
  <si>
    <t>❤️❤️beautiful</t>
  </si>
  <si>
    <t>😍😍😍😍🩷🩷🩷🩵🩵🩵</t>
  </si>
  <si>
    <t>😍Amazing ❤️❤️👏👏👏</t>
  </si>
  <si>
    <t>Beautiful 💙💜🩷</t>
  </si>
  <si>
    <t>gorgeous 😍</t>
  </si>
  <si>
    <t>✨💞✨</t>
  </si>
  <si>
    <t>Gorgeous 😍🔥😍</t>
  </si>
  <si>
    <t>Wow, that's amazing! ❤️‍🔥❤️‍🔥❤️‍🔥</t>
  </si>
  <si>
    <t>DRPrkoRDOoZ</t>
  </si>
  <si>
    <t>Phenomenal Set Bro 🔥 love the 3rd one❤️</t>
  </si>
  <si>
    <t>👏🙌❤️😍 great work bro</t>
  </si>
  <si>
    <t>I would totally Wear that suite 😍</t>
  </si>
  <si>
    <t>So awesome friend!! Love these so much 🔥🔥🔥🔥🔥😍</t>
  </si>
  <si>
    <t>Perfect 👏</t>
  </si>
  <si>
    <t>Sleek 🔥🔥</t>
  </si>
  <si>
    <t>Que lindo 😍</t>
  </si>
  <si>
    <t>Stunning my friend 🖤🥰🖤💯♥️</t>
  </si>
  <si>
    <t>Awsomee dudee🔥🔥</t>
  </si>
  <si>
    <t>Wowww stunning!!!😍😍😍👏👏👏</t>
  </si>
  <si>
    <t>Nice job, beautiful lighting ❤️</t>
  </si>
  <si>
    <t>Örümcek adam 😮😍❤️</t>
  </si>
  <si>
    <t>Very dope 👏👏</t>
  </si>
  <si>
    <t>Very cool concept. Well done! ✌️🎉</t>
  </si>
  <si>
    <t>Woww honey, this looks perfect😍👏</t>
  </si>
  <si>
    <t>Very deteiled 😍</t>
  </si>
  <si>
    <t>😍❤️😍❤️😍❤️</t>
  </si>
  <si>
    <t>🙌🙌🙌❤️</t>
  </si>
  <si>
    <t>Awesome work 🔥🔥</t>
  </si>
  <si>
    <t>Nice my friend ❤️❤️❤️🙌👏</t>
  </si>
  <si>
    <t>❤️🙌</t>
  </si>
  <si>
    <t>👏Wow 🤩 Can you #send #me this #work 👐🏻</t>
  </si>
  <si>
    <t>DQjRfrPkmrF</t>
  </si>
  <si>
    <t>Fabulous 😍</t>
  </si>
  <si>
    <t>This is beautiful</t>
  </si>
  <si>
    <t>Oh my! I adore the sea and dolphins! I am def stealing this creation - not to credit it as mine, evidently, but to admire it in my phone gallery 🤭</t>
  </si>
  <si>
    <t>Yes feeling the ☀️☀️</t>
  </si>
  <si>
    <t>Do you like the feeling of the sun on your skin after a good swim?</t>
  </si>
  <si>
    <t>DScKTvjDD6e</t>
  </si>
  <si>
    <t>❤️😻❤️</t>
  </si>
  <si>
    <t>🎀🎀🎀🎀</t>
  </si>
  <si>
    <t>🔥🔥🔥🔥🔥🔥🔥🔥</t>
  </si>
  <si>
    <t>😍😍😍😍😍😍😍❤️❤️🔥🔥🔥</t>
  </si>
  <si>
    <t>🎄🎄🎄🎄</t>
  </si>
  <si>
    <t>🎅🎅🎅🎅</t>
  </si>
  <si>
    <t>Waaaw fantastic 😍😍😍😍😍</t>
  </si>
  <si>
    <t>Lindo🙌🙌🙌</t>
  </si>
  <si>
    <t>Cuties 😍❤️😍❤️</t>
  </si>
  <si>
    <t>Guten Morgen wünsche einen schönen Mittwoch ❤️❤️😆👏♥️🫂🫂🫂🫂🫂🫂🫂🫂🫂🫂🫂</t>
  </si>
  <si>
    <t>Wow, so sweet 🎄🐈🎄🐈🎄</t>
  </si>
  <si>
    <t>DT2lgb4k5Qe</t>
  </si>
  <si>
    <t>@raffia.suzu 🤭☺️🫂❤️🌃</t>
  </si>
  <si>
    <t>@raffia.suzu ❤️💜</t>
  </si>
  <si>
    <t>@mikado.akamatsu 😮ありがとうございます👍シネマティックで楕円ボケ動画系なのですね☺️楽しそう✨</t>
  </si>
  <si>
    <t>🔥🔥❤😍👍🥰</t>
  </si>
  <si>
    <t>😍😍😍🔥🔥</t>
  </si>
  <si>
    <t>@raffia.suzu 💖💖✨✨😘😘</t>
  </si>
  <si>
    <t>@wild_imagination_ai_artwork 😍😍😍❤❤❤</t>
  </si>
  <si>
    <t>@angedanievant 👏😍❤❤❤</t>
  </si>
  <si>
    <t>@emilyai7181 ❤❤😍😍💕💕</t>
  </si>
  <si>
    <t>@brentblair212 Thank you❤️❤️❤️</t>
  </si>
  <si>
    <t>@pas9767 😍☺️🥰💕🌹✨🌟✨🌹💕🥰☺️😍</t>
  </si>
  <si>
    <t>青蝶々🦋大好き💙</t>
  </si>
  <si>
    <t>❤️❤️👏👏</t>
  </si>
  <si>
    <t>@raffia.suzu 😚😚😚</t>
  </si>
  <si>
    <t>@raffia.suzu... KIKOU YES Thank You So Very Much... Touches My Heart Deeply... BIG KISSES KISSES KISSES KISSES 👋☺️🥰😘❤️💫❤️🌹🌹❤️🌹🌹❤️💫❤️😘🥰☺️👋</t>
  </si>
  <si>
    <t>@anakinvader13 青🦋神秘的で夜と合いました🌙*ﾟ❤</t>
  </si>
  <si>
    <t>@mau_3552 ❤❤👏👏😍😍😍</t>
  </si>
  <si>
    <t>@aslangeidarov 💯🥰😍🥰💖</t>
  </si>
  <si>
    <t>🔥👏😍</t>
  </si>
  <si>
    <t>@pauloygorbezerra 🔥👏😍❤❤❤</t>
  </si>
  <si>
    <t>Stunningly beautiful 😍😍🔥🔥❤️❤️</t>
  </si>
  <si>
    <t>@gigi.grigoras.754 Thank you👍🤗😍🥰🥰🥰</t>
  </si>
  <si>
    <t>@raffia.suzu 🔥👍🫰</t>
  </si>
  <si>
    <t>@raffia.suzu ❣️👁️</t>
  </si>
  <si>
    <t>Wow, it's so beautiful! ❤️😍🤩😍🥰🥰😘😘🥰</t>
  </si>
  <si>
    <t>@zakaria0mullah Thank you so much❤😍🤩😍🥰🥰😘💖</t>
  </si>
  <si>
    <t>⠀⠀⠀⠀⠀⠀⣴⠶⢦⣤⠶⠶⣄⠀⠀⠀⠀ ⠀⠀⠀⠀⠀⠀⣇⠀♥️⠀⢀⣿⠀⠀⠀⠀ ⠀⠀⠀⠀⠀⠀⠙⢧⣄⠀⣠⠞⠁⠀⠀⠀⠀ ⠀⠀⠀⠀⠀⣀⡀⠀⠉⠛⠃⣠⣄⡀⠀⠀⠀ ⠀⠀⠀⠀⡞⠉⠙⢳⣄⢀⡾⠁⠈⣿⠀⠀⠀ ⠀⠀⠀⠀⢻⡄⠀⠀⠙⢿⡇⠀⢰⠇⠀⠀⠀ ⠀⠀⠀⠀⠀⠙⣦⡀⠀⠀⠹⣦⡟⠀⠀⠀⠀ ⠀⠀⠀⠀⠀⠀⠈⢳⣄⠀⠀⠈⠻⣄⠀⠀⠀ ⠀⠀⠀⠀⠀⠀⡞⠋⠛⢧⡀⠀⠀⠘⢷⡀⠀ ⠀⠀⠀⢠⡴⠾⣧⡀⠀⠀⠹⣦⠀⠀⠈⢿⡄ ⠀⠀⣀⣿⠀⠀⠈⠻⣄⠀⠀⠀⠀⠀⠀⠈⣷ ⢠⡟⠉⠛⢷⣄⠀⠀⠈⠀⠀⠀⠀⠀⠀⣰⠏ ⠀⢷⡀⠀⠀⠉⠃⠀⠀⠀⠀⠀⠀⠀⣴⠏⠀ ⠀⠈⠻⣦⡀⠀⠀⠀⠀⠀⠀⢀⣠⠞⠁⠀⠀ ⠀⠀⠀⠈⠙⠶⣤⣤⣤⡤⠶⠋⠁⠀⠀⠀⠀</t>
  </si>
  <si>
    <t>@fiction_world88 😍😍😍😍</t>
  </si>
  <si>
    <t>@tearful.look ❤️❤️❤️🦋🦋💙</t>
  </si>
  <si>
    <t>❤️❤️😍😍😍like the tats🔥</t>
  </si>
  <si>
    <t>@gojo_jem ❤❤😍😍😍🌹tattoo👍</t>
  </si>
  <si>
    <t>Beauty!</t>
  </si>
  <si>
    <t>@modelmind_collective Thank you😍❤️</t>
  </si>
  <si>
    <t>@_ai.art.beauty 🔥🔥😍😍😍❤️❤️❤️</t>
  </si>
  <si>
    <t>❤️🫶🤘🤘🤘</t>
  </si>
  <si>
    <t>❤‪🫶🏻🎀👍👍👍🥰</t>
  </si>
  <si>
    <t>@pulse.dystopia ❤❤❤😍😍😍💖</t>
  </si>
  <si>
    <t>@raffia.suzu 😍😍😍</t>
  </si>
  <si>
    <t>❤️大丈夫だよ👌ねつ🙆</t>
  </si>
  <si>
    <t>@nobu0707nobu 🙆‍♀️⭕️ありがとう♥️♥️♥️𓂃𓈒𓏸︎︎︎💕</t>
  </si>
  <si>
    <t>Stunning 🔥❤️</t>
  </si>
  <si>
    <t>@novamuseai Thank you❤🔥😍</t>
  </si>
  <si>
    <t>Prompt dm</t>
  </si>
  <si>
    <t>@aimeraj2026 😮✨✨🤗</t>
  </si>
  <si>
    <t>DUlMAD2lRix</t>
  </si>
  <si>
    <t>DTv9sJGjD7-</t>
  </si>
  <si>
    <t>DR2OG7qEjMb</t>
  </si>
  <si>
    <t>DSLEWPjkgrL</t>
  </si>
  <si>
    <t>DR2Y8p9giTt</t>
  </si>
  <si>
    <t>DMV_EO1N3qS</t>
  </si>
  <si>
    <t>DQGSvs-DDyl</t>
  </si>
  <si>
    <t>DSad9F2jfva</t>
  </si>
  <si>
    <t>You have captured the feeling. Magic. I love this ART so much 😍🙏</t>
  </si>
  <si>
    <t>You make it look so easy 😍</t>
  </si>
  <si>
    <t>breathtaking!!!! This painting has the most gorgeous color selection!</t>
  </si>
  <si>
    <t>It’s absolutely cute 😍😍</t>
  </si>
  <si>
    <t>Which Materials do you use? 😍 i would Like to practice myself in landscapes, but at this Point I struggle with the question, which Materials i should use.  Sorry for my english, it‘s been a Long time since school. 🥲</t>
  </si>
  <si>
    <t>Your paintings are pure magic</t>
  </si>
  <si>
    <t>Absolutely wonderful and elegant painting! It's so enchanting! 😍</t>
  </si>
  <si>
    <t>This is breathtaking ❤️</t>
  </si>
  <si>
    <t>This is like looking at a fairytale 😍</t>
  </si>
  <si>
    <t>Perfect</t>
  </si>
  <si>
    <t>Very beautiful and light 😍</t>
  </si>
  <si>
    <t>This is soooooo beautiful 😍 ❤️</t>
  </si>
  <si>
    <t>Love all those colors! Awesome work! 🔥</t>
  </si>
  <si>
    <t>😮😮😮❤️❤️❤️</t>
  </si>
  <si>
    <t>The lightning is so pretty!😍</t>
  </si>
  <si>
    <t>👏really love your work❤️fulled with spirit</t>
  </si>
  <si>
    <t>It feels like a scene from a dream, its so beautiful ❤️❤️❤️</t>
  </si>
  <si>
    <t>👍🖌️</t>
  </si>
  <si>
    <t>Mesmerized! Almost in a trance!</t>
  </si>
  <si>
    <t>👏👏❤️</t>
  </si>
  <si>
    <t>😍😍😍😍🔥🔥🔥🔥</t>
  </si>
  <si>
    <t>👏👏👏😍😍😍😍</t>
  </si>
  <si>
    <t>Oh wow. The lighting is magical ❤️</t>
  </si>
  <si>
    <t>It's fantastic</t>
  </si>
  <si>
    <t>The warmth this painting is giving me. It's so lovely 🌟🌷🙏</t>
  </si>
  <si>
    <t>Beautiful artwork 😍❤️</t>
  </si>
  <si>
    <t>The light 😮🔥😍</t>
  </si>
  <si>
    <t>Wow!!! So stunning and beautiful! You truly mastered capturing the light ght and the energies! I love it!!🙌🙌🙌</t>
  </si>
  <si>
    <t>I'm sorry for ever picking a paint brush 🖌️</t>
  </si>
  <si>
    <t>sorry Iam have a limit of expressing these fellings but I can tell its like vague but a warm felling the sun is bright but its has a warm, safe touch</t>
  </si>
  <si>
    <t>🌿💚🤍🧡💛🩵🩷</t>
  </si>
  <si>
    <t>The light 😮‍💨 amazing work !</t>
  </si>
  <si>
    <t>Beautifully done 💖</t>
  </si>
  <si>
    <t>😍😍😍👏👏👏</t>
  </si>
  <si>
    <t>Wowww! Love it 🔥</t>
  </si>
  <si>
    <t>This is the kind of painting I wish I could step into! ❤️</t>
  </si>
  <si>
    <t>Lovely job with the lighting!</t>
  </si>
  <si>
    <t>Wow this is out of the world 👏👏</t>
  </si>
  <si>
    <t>😍😍😍👏👏👏👏❤️</t>
  </si>
  <si>
    <t>The wonder of your paintbrush is otherworldly!</t>
  </si>
  <si>
    <t>I love those colors ❤️ very nice❤️</t>
  </si>
  <si>
    <t>Hermoso 👏👏👏</t>
  </si>
  <si>
    <t>If beautiful had a definition 🔥❤️</t>
  </si>
  <si>
    <t>Some people are just born with true talent.</t>
  </si>
  <si>
    <t>The magic artwork 😍✨✨✨</t>
  </si>
  <si>
    <t>Such a beautiful glow in these colors!!!</t>
  </si>
  <si>
    <t>This reminded me of Quinni ❤️❤️🥺🥺 lovely work</t>
  </si>
  <si>
    <t>This reminded me so much of @qinnih art’s may her legacy be forever in every drawing of a star ⭐️</t>
  </si>
  <si>
    <t>You're my fav artist since i was a child😭✨🩷</t>
  </si>
  <si>
    <t>Really took me back to @qinniart . Funny how it made me a little sad even though I never really knew her. Great piece btw.</t>
  </si>
  <si>
    <t>It's kind of wholesome how many people here remember @qinniart</t>
  </si>
  <si>
    <t>You reminded me of the Artist @qinniart .. Sadly she's no more 😔 you're drawing is so amazing 😭❤</t>
  </si>
  <si>
    <t>Ur art reminds me of @qinniart may god bless her soul 😢</t>
  </si>
  <si>
    <t>Your works remember to me a lot Qing Han art ( @qinniart ). How nostalgic and sometimes sad... I miss her pics, your are great!</t>
  </si>
  <si>
    <t>Your artstyle reminds me of @qinniart its lovely ♡</t>
  </si>
  <si>
    <t>Anyone remember @qinniart when they see this 😍😍</t>
  </si>
  <si>
    <t>I love the transparent umbrella and how it blends the environment. It's so pretty 😍</t>
  </si>
  <si>
    <t>So magical. The rippling of water</t>
  </si>
  <si>
    <t>I wish the world was as beautiful as your art</t>
  </si>
  <si>
    <t>Just wonderful. Your art is incredible 🥺♥️ Makes me cry.</t>
  </si>
  <si>
    <t>☔️💙</t>
  </si>
  <si>
    <t>i love how your art style has changed over the years</t>
  </si>
  <si>
    <t>Water and star 🙌 gosh this is beautiful!</t>
  </si>
  <si>
    <t>Beautiful work 😍</t>
  </si>
  <si>
    <t>Oooo so pretty I love the stars</t>
  </si>
  <si>
    <t>This is a magical painting.  Very inspirational.  Your talent is in you imagination.  Thanks for sharing.</t>
  </si>
  <si>
    <t>💙🧡</t>
  </si>
  <si>
    <t>So many wishes to make! 🤩 or are they already made?...</t>
  </si>
  <si>
    <t>It reminds me of qini ♡</t>
  </si>
  <si>
    <t>beautiful artwork!</t>
  </si>
  <si>
    <t>What a poetic painting🥹✨ It’s like a scene from a picture book or a fantasy story…‼︎💓</t>
  </si>
  <si>
    <t>In love with this ❤️</t>
  </si>
  <si>
    <t>☀️🩵✨</t>
  </si>
  <si>
    <t>Your art is always so soothing 🥰</t>
  </si>
  <si>
    <t>This is so beautiful✨ Absolutely love the magical concepts in your art💖</t>
  </si>
  <si>
    <t>The textures and lighting is beautiful ❤️ it feels so magical</t>
  </si>
  <si>
    <t>😍🌧🌟💖</t>
  </si>
  <si>
    <t>Incredible great😍🥰</t>
  </si>
  <si>
    <t>God.... That's so beautiful...</t>
  </si>
  <si>
    <t>I love this one so much!  Rain is my jam, so are stars!</t>
  </si>
  <si>
    <t>This is so so beautiful. I love how lifelike you made the umbrella. As if you could just run into someone like this 😍😍😍</t>
  </si>
  <si>
    <t>Awesome concept beautifully executed 🙌</t>
  </si>
  <si>
    <t>This is beautiful!! I love the colors!</t>
  </si>
  <si>
    <t>This is so beautiful!!😍😍 My fav new artwork of yours ❤️</t>
  </si>
  <si>
    <t>So inspiring, beautiful and dreamy ✨✨✨</t>
  </si>
  <si>
    <t>Can i recreate it i mean can i use it as a reference its so good i like to try ❤️❤️</t>
  </si>
  <si>
    <t>Your art is absolutely amazing 😍</t>
  </si>
  <si>
    <t>This was so relaxing</t>
  </si>
  <si>
    <t>I finally found you❤️. Been look for you since 2017. Since fisheye placebo.</t>
  </si>
  <si>
    <t>Oh my goddd that looks soo magical! 😍🌟</t>
  </si>
  <si>
    <t>Superlative work</t>
  </si>
  <si>
    <t>The way you have captured the celestial energy in this portrait is truly mesmerizing, and the shimmering textures of the glitter watercolor give it such a magical, tactile feel. Those golden star details and the moth necklace create such a beautiful sense of mystery and mindfulness. It feels like a quiet, soulful reflection on the magic that exists within us all. ✨🌙✨</t>
  </si>
  <si>
    <t>Oh my 😍 that glitter 🥰</t>
  </si>
  <si>
    <t>Omg I LOVE the colours. I love the glitter and shimmer ✨❤️</t>
  </si>
  <si>
    <t>Oh wow this is so pretty!!! I love your colour choices and how celestial she feels. The glitter effect is absolutely stunning! 😍 ✨️</t>
  </si>
  <si>
    <t>Wow!! Really beautiful 😮😍</t>
  </si>
  <si>
    <t>✨😍😍😍😍✨</t>
  </si>
  <si>
    <t>Love the sparkly look! Amazing colors!! 😍</t>
  </si>
  <si>
    <t>Really beautifully done</t>
  </si>
  <si>
    <t>ahh such pretty glitter ✨✨</t>
  </si>
  <si>
    <t>Amo 😍</t>
  </si>
  <si>
    <t>❤️👏❤️</t>
  </si>
  <si>
    <t>This is so beautiful and I really love the way she sparkles 😍</t>
  </si>
  <si>
    <t>😮😮👏👏👏👏👏</t>
  </si>
  <si>
    <t>Oh my, that is glittery! 🤩🫶</t>
  </si>
  <si>
    <t>Holy gorgeous 😍</t>
  </si>
  <si>
    <t>I love the way of rapture celestial energy ✨</t>
  </si>
  <si>
    <t>Oh my word, how magically delicious!!  👏👏👏 😮 💖  May I ask what brand you use for the glitter watercolors part?</t>
  </si>
  <si>
    <t>Love the sparkles 🧚‍♀️🧚🧚‍♂️</t>
  </si>
  <si>
    <t>I love the glitter result !!!</t>
  </si>
  <si>
    <t>Love it💗🍒🌈</t>
  </si>
  <si>
    <t>Your work feels very honest ❤️✨💫</t>
  </si>
  <si>
    <t>stellar splash, love your orbiting hearts 🌠❤️ ⛅︎</t>
  </si>
  <si>
    <t>I love the subtle expression you gave her. ❤️</t>
  </si>
  <si>
    <t>I need to get into glitter watercolour, this is gorgeous</t>
  </si>
  <si>
    <t>Do you possibly do commissions? 😍 Your work is magical ✨💐</t>
  </si>
  <si>
    <t>💙🌟💙🌟</t>
  </si>
  <si>
    <t>Wow 😍 so pretty!!! Now I gotta look up what glitter watercolors are haha</t>
  </si>
  <si>
    <t>Seeing your art makes me want to create my own again 🥺✨💜🙌 you do such beautiful work!</t>
  </si>
  <si>
    <t>The glitter and the gold is gorgeous</t>
  </si>
  <si>
    <t>Beyond beautiful 😍❤️</t>
  </si>
  <si>
    <t>Lovely piece of art. The character feels so carefree.</t>
  </si>
  <si>
    <t>Etherealllll😔👆💗💗💗💗💗🌟🌟🌟🌟🌟✨️✨️✨️✨️✨️✨️✨️✨️</t>
  </si>
  <si>
    <t>This is amazing!! 👏</t>
  </si>
  <si>
    <t>This is so stunning 😍🫢✨</t>
  </si>
  <si>
    <t>How beautiful 😍 is it</t>
  </si>
  <si>
    <t>Very beautiful painting!</t>
  </si>
  <si>
    <t>This is gorgeous!</t>
  </si>
  <si>
    <t>The way you use the glitter watercolors is sooo Stunning! 🥰</t>
  </si>
  <si>
    <t>Love the glitter ❤️❤️❤️</t>
  </si>
  <si>
    <t>Woooow this looks so magical 😍❤️</t>
  </si>
  <si>
    <t>Love this vibe ⚡️ 👌🏻</t>
  </si>
  <si>
    <t>Beautiful creative work ❤️🩷💕✨</t>
  </si>
  <si>
    <t>So lovely!</t>
  </si>
  <si>
    <t>Your lines and style are like a fairy tale. Thank you for the inspiration you've given to my art.🙏✨️💙🎨</t>
  </si>
  <si>
    <t>🩷🩵✨</t>
  </si>
  <si>
    <t>Absolutely love this 🥰 wonderful selection of colours!</t>
  </si>
  <si>
    <t>Thank you @barbienostalgia for motivating me to paint childhood dreams 💕🥰🩵</t>
  </si>
  <si>
    <t>Saw this and purchased without even thinking twice, this is my favorite movie &amp; such a beautiful painting🥺 the first time I’ve bought something from Etsy as well🩷</t>
  </si>
  <si>
    <t>this is so dreamy 🌌😩💕</t>
  </si>
  <si>
    <t>I need someone to show me how to do this using acrylics ❤️💖</t>
  </si>
  <si>
    <t>Wow so beautiful 😍 It's my favorite Barbie movie</t>
  </si>
  <si>
    <t>I'll never get tired of saying how much I love every piece of artwork you show us!! 😭❤️❤️❤️</t>
  </si>
  <si>
    <t>absolutely loved this movie growing up 🥲 and this is such a beautiful creation! 🩷</t>
  </si>
  <si>
    <t>omgggg this is so good , I love the songs in this movie 🤧😭</t>
  </si>
  <si>
    <t>Such a lovely, peaceful scene.😍😍 there is so much love. Every living being has its partner. Simply stunning. The details on the castle and flowers are incredible! And I love the architecture of the cottage on the right. It is so charming! It looks like it’s straight out of a classic fairytale. 🏡❤️👏👏</t>
  </si>
  <si>
    <t>Love the two butterflies and two cats!! This painting is pure magic!💖💙</t>
  </si>
  <si>
    <t>Gurl my eyes have been blessed ✨✨</t>
  </si>
  <si>
    <t>Absolutely gorgeous!! Finishing this masterpiece in 3h is insane 😍 the cats and butterflies are so cuteee 🥹❤️</t>
  </si>
  <si>
    <t>it’s just so beautiful i have no words 🙌❤️ i wish I could just live in it honestly ❤️❤️</t>
  </si>
  <si>
    <t>Oh my goodness! She done it again!! 😍 It's so beautiful aaaaaa~ and look at the kitties 😻</t>
  </si>
  <si>
    <t>Omg, this looks so wonderful Sofi!! The way you did the prespective and colors is very well done. 😍❤️👏</t>
  </si>
  <si>
    <t>So nice to see the process and the result is so magical ✨️ 💖  great work!</t>
  </si>
  <si>
    <t>This took my breath away omg</t>
  </si>
  <si>
    <t>This is beautiful 😍 love seeing your process!!</t>
  </si>
  <si>
    <t>Oh this is AMAZING!!!! More Barbie please 🩷✨🤩🤩</t>
  </si>
  <si>
    <t>Oh I’m gonna cry this is the most beautiful thing I’ve ever seen 😭💕🦋</t>
  </si>
  <si>
    <t>😍😍😍😍💖💖💖💖❤️❤️❤️❤️😍😍😍😍💖💖💖💖❤️❤️❤️❤️</t>
  </si>
  <si>
    <t>I loveee it!🤭 Gives me some memories back from the time I watched the movie. Very magical especially the look and design of the buildings (I'm a fan of that)✨️ And the butterflies are like the cherry on top👀 An</t>
  </si>
  <si>
    <t>Love this 😍</t>
  </si>
  <si>
    <t>Gorgeous, gorgeous gorgeous!! I love that you show step-by-step how you create! When I watch this, it makes me wanna paint!❤️❤️❤️❤️❤️</t>
  </si>
  <si>
    <t>Wow🔥🔥🔥🔥 just love seeing your work</t>
  </si>
  <si>
    <t>How do you paint such an incredible work!!! You're amazing 😍😍</t>
  </si>
  <si>
    <t>Pretty.</t>
  </si>
  <si>
    <t>Omg girl stop ittttt! This is soooo beautiful! 😍 I swear you are in my head painting my dreams. If I could just be transported to one or all of the places you draw, I’d be happy forever! 😍🩷🩷🩷 (Also, I finally replied to your message - so sorry for the delay!) ✨✨✨🫶</t>
  </si>
  <si>
    <t>Omg!!! I missed your paintings the most past few days!!! This painting just gave me so much comfort its so beautiful girl!! I loved the painting ❤️</t>
  </si>
  <si>
    <t>How did you know I’ve been watching all the Barbie movies this week</t>
  </si>
  <si>
    <t>What a dream this looks👏👏👏👏👏👏 its through one of those gates that opened in the sandy plains and led the travellers to this paradise🔥🔥🔥</t>
  </si>
  <si>
    <t>@crescenteleven the way you cheered me up, thank you sm!! 💜💕you must have a very whimsical soul! Welcome fairy 🧚✨🫶🏼</t>
  </si>
  <si>
    <t>It's stunning 😍 I love it soooo much!! 💖💖</t>
  </si>
  <si>
    <t>This is gorgeous 😍😍😍 the colors are stunning</t>
  </si>
  <si>
    <t>How can I learn this type of arts do you have any suggestions for books? Or something I really like your arts</t>
  </si>
  <si>
    <t>This is a childhood dream come true! It radiates magic and wonder, I’m in love 🩷✨✨</t>
  </si>
  <si>
    <t>Nailed it puurrfffeeccttlllyyyyyy💖🌟💖</t>
  </si>
  <si>
    <t>Omg this is so pretty I love it so much 🥺 💖💖💖</t>
  </si>
  <si>
    <t>OMG I LOVED THIS MOVIE SOOOO MUCHHH SKDHDKDJKDJD❤️❤️❤️❤️❤️❤️❤️❤️</t>
  </si>
  <si>
    <t>I admire your layering technique so much!! I'm afraid i would end up with everything mixing into a brown wet mush 😭😂🩷🩷😻😻</t>
  </si>
  <si>
    <t>Yes, I remember this illustration. The Barbiecore is very strong with this one and all the pink colours remind me of Spring as well. I love the atmosphere and the landscape so much, it makes you want to teleport there. ☺️🥺 Such beautiful work as always. ☺️☺️☺️</t>
  </si>
  <si>
    <t>This is so beautiful I could cry 😭😭😭 are prints for sale? I want it in my office</t>
  </si>
  <si>
    <t>beyond stunning and nostalgic💞💞💞 i love your painting process a lot🥹✨✨</t>
  </si>
  <si>
    <t>I’m crying so cute</t>
  </si>
  <si>
    <t>I adore seeing the process!! Its like watching real life magic unfold before my eyes !! I so wish to shrink down and become a character in your paintings 💓💙😍💕</t>
  </si>
  <si>
    <t>🩵</t>
  </si>
  <si>
    <t>🥹🥹🥹</t>
  </si>
  <si>
    <t>This is soooo beautiful 😍🔥🔥</t>
  </si>
  <si>
    <t>This is so gorgeous! I always love how vibrant your colours are💖🩷😍</t>
  </si>
  <si>
    <t>I love it!! Hydrangeas are my favourite flowers :’-)</t>
  </si>
  <si>
    <t>Would you consider selling these / doing a workshop for it!! Id love to buy / make this as a gift!</t>
  </si>
  <si>
    <t>So so lovely!! 🥹 Seeing the details in person made me appreciate your work more 🥺</t>
  </si>
  <si>
    <t>That’s so so beautiful!! &amp; you so talented 🌬️😍</t>
  </si>
  <si>
    <t>✨✨</t>
  </si>
  <si>
    <t>They’re so pretty oh wow!!!</t>
  </si>
  <si>
    <t>Omg I love these! Are you selling them? ❤️</t>
  </si>
  <si>
    <t>Gorgeous 💚</t>
  </si>
  <si>
    <t>Hydrangeas~!! These are so delicate looking~ I was wondering if you could make Snowdrops too? I rarely see anyone make those flowers it’s always lily of the valley instead</t>
  </si>
  <si>
    <t>now thats a bouquet i really need😍</t>
  </si>
  <si>
    <t>they look perfect!!!!</t>
  </si>
  <si>
    <t>I love it!!!! My favorite flower made from glass I need a bouquet 💐 to cherish forever and they won’t die!</t>
  </si>
  <si>
    <t>This is beautifullll🌟</t>
  </si>
  <si>
    <t>I need it, I want it😍😍</t>
  </si>
  <si>
    <t>So elegant and pretty!😍</t>
  </si>
  <si>
    <t>Would totally buy a bouquet 😭😭😭</t>
  </si>
  <si>
    <t>Need this in pink</t>
  </si>
  <si>
    <t>This is soo prettyyyy💗💗</t>
  </si>
  <si>
    <t>this piece melted my heart; you go girl 🖤</t>
  </si>
  <si>
    <t>My favorite flower 😍</t>
  </si>
  <si>
    <t>I would genuinely buy a bouquet of these omg ❤️❤️ so talented. my boyfriends favorite flower!</t>
  </si>
  <si>
    <t>Great work there</t>
  </si>
  <si>
    <t>Where do you go to learn this?😭this is amazing</t>
  </si>
  <si>
    <t>You should do Lily of the Valleys next</t>
  </si>
  <si>
    <t>Can I buy a pretty forever flower?😍</t>
  </si>
  <si>
    <t>this is amazing!! 🔥❤️</t>
  </si>
  <si>
    <t>Wow fantastic work🙌🙌🔥</t>
  </si>
  <si>
    <t>fire bro 🔥🔥</t>
  </si>
  <si>
    <t>You and your group of designer friends, just on fire 🔥🔥. This Typography 👀🫠, WOW!! BAZAAR Magazine Spring Edition yessss 😍😍🥰</t>
  </si>
  <si>
    <t>This is so beautiful ❤️</t>
  </si>
  <si>
    <t>Oooh that gradient color way is nice 🔥</t>
  </si>
  <si>
    <t>This is wild bro 🔥</t>
  </si>
  <si>
    <t>🔥🔥❤️🔥❤️🔥</t>
  </si>
  <si>
    <t>Damn this is very cool🔥</t>
  </si>
  <si>
    <t>Ayy I love it</t>
  </si>
  <si>
    <t>This could be a magazine cover 😍</t>
  </si>
  <si>
    <t>❤️🔥🔥🔥</t>
  </si>
  <si>
    <t>🔥👏❤️</t>
  </si>
  <si>
    <t>Yo this is a dope shirt 🔥 Nice work bro</t>
  </si>
  <si>
    <t>I love this so much, it’s amazing ❤️🌹🖤</t>
  </si>
  <si>
    <t>🔥👌🏻</t>
  </si>
  <si>
    <t>Really cool on clothing 😍🔥live the colors so much!!</t>
  </si>
  <si>
    <t>wow - awsome work 🔥 The placements of the „O‘s“ turned out amazing 🙌</t>
  </si>
  <si>
    <t>❤️❤️❤️mate this is absolutely stunning my friend</t>
  </si>
  <si>
    <t>🌹🔥</t>
  </si>
  <si>
    <t>Ahh that’s me!</t>
  </si>
  <si>
    <t>Yoooo this is lit i’m a new fan and i really like your designs, it looks really cool ❤️</t>
  </si>
  <si>
    <t>Epic work 🔥🔥🔥</t>
  </si>
  <si>
    <t>🤩</t>
  </si>
  <si>
    <t>Great piece of art 🔥🔥🔥🔥</t>
  </si>
  <si>
    <t>send me the shirt 🔥🔥</t>
  </si>
  <si>
    <t>High quality🫶🏾🫶🏾🫶🏾</t>
  </si>
  <si>
    <t>Love this, absolutely firee 🔥🔥</t>
  </si>
  <si>
    <t>oh damn, hit em with the button down too! nice! 👌🏼❤️‍🔥</t>
  </si>
  <si>
    <t>Pure ART Bro!😍😍😍</t>
  </si>
  <si>
    <t>👏🏻👏🏻👏🏻</t>
  </si>
  <si>
    <t>Love this one bro 🔥🔥🔥🔥😍</t>
  </si>
  <si>
    <t>Insaneee wow love it👏🔥</t>
  </si>
  <si>
    <t>@chevrolet my car blew up</t>
  </si>
  <si>
    <t>😮😮😮😮😮🖤🤍🖤🤍🖤</t>
  </si>
  <si>
    <t>That's adorable! I would love to have a flower like that 😆</t>
  </si>
  <si>
    <t>THEY ARE SO CUTE the way they’re just hanging there</t>
  </si>
  <si>
    <t>Where do i get this plant asking for a friend 🥴🥴😻😻😻</t>
  </si>
  <si>
    <t>OMG!!! So many cuteness. Your color palette is so soft and sweet like candy. I’m in love with this 😍💕🫶✨</t>
  </si>
  <si>
    <t>This is too cute!!! The colors and the bunnies and everything is perfect 🥹❤️</t>
  </si>
  <si>
    <t>Omigosh I love these so much 🥰</t>
  </si>
  <si>
    <t>This is so cute 🙌👏👏</t>
  </si>
  <si>
    <t>Cute rabbits 🐰</t>
  </si>
  <si>
    <t>Omg this is soooo cute💞🎀✨</t>
  </si>
  <si>
    <t>sho cute</t>
  </si>
  <si>
    <t>This is so cute imma follow</t>
  </si>
  <si>
    <t>They are so cute ahhhhhh!!! 😍😍😍🥹💖💕💖💕</t>
  </si>
  <si>
    <t>Bunny overload in the absolute cutest way possible~ I love them so much 🩷</t>
  </si>
  <si>
    <t>This is so adorable! 😊💕</t>
  </si>
  <si>
    <t>Such cuties!! 💕</t>
  </si>
  <si>
    <t>Omg sooo cute 🥺 I would love to have one like that!!!!!!</t>
  </si>
  <si>
    <t>Cute art like this makes me sooooo happy! Thank you 🌸✨🍀</t>
  </si>
  <si>
    <t>Buns of valley!!! My gosh such a cute idea ❤️</t>
  </si>
  <si>
    <t>this is so cute!!!!</t>
  </si>
  <si>
    <t>Ahh!!They're sooo adorable!🤍🤍🤍</t>
  </si>
  <si>
    <t>ITS SO CUTEEEEE</t>
  </si>
  <si>
    <t>bunnyofthevalley &lt;3</t>
  </si>
  <si>
    <t>Chef’s kiss ��</t>
  </si>
  <si>
    <t>The way I slammed the follow button 😍😍</t>
  </si>
  <si>
    <t>This is so magical and the cutest ever!! 😭❤️❤️</t>
  </si>
  <si>
    <t>So freaking cute 🥰 ❤️</t>
  </si>
  <si>
    <t>Omg! That’s so cuuuute!!!😍</t>
  </si>
  <si>
    <t>I love this ❤️❤️ so pretty</t>
  </si>
  <si>
    <t>THAT'S ACCTUALLY SO CUTEE!! Especially since lily of the valley is one of my favourite (if not my favourite) FLOWER(S)!</t>
  </si>
  <si>
    <t>Hey there! I’m passionate about Zentangle and mindful doodling—turning simple lines into intricate art. I share my creative journey over at @tangled_euphoria and would love to connect with fellow art lovers. Let’s inspire each other!</t>
  </si>
  <si>
    <t>Help this is so beautiful 😭🫶🏻</t>
  </si>
  <si>
    <t>I really want this in a Tshirt</t>
  </si>
  <si>
    <t>Aww this must be the most buntiful flower ❤️</t>
  </si>
  <si>
    <t>I really like rabbits and lily of the valley. What kind of products will be there? ?</t>
  </si>
  <si>
    <t>I want this but in a white tiger form</t>
  </si>
  <si>
    <t>Oh nooooooo that’s soo cute</t>
  </si>
  <si>
    <t>😍Can this be sold as a digital download or print ?</t>
  </si>
  <si>
    <t>They are so cute ❤️</t>
  </si>
  <si>
    <t>These are so ADORABLEEEEEEEEEEE !</t>
  </si>
  <si>
    <t>My heart 🥹</t>
  </si>
  <si>
    <t>How cute ist this🥰🥰🥰🥰🥰🥰🥰🥰🥰🥰</t>
  </si>
  <si>
    <t>The amount of times I saw this on Pinterest and wondered who was the artist, and the instagram recomended you! so happy now!🥰😮</t>
  </si>
  <si>
    <t>magical art🔥🔥🔥</t>
  </si>
  <si>
    <t>Damn those lineworks! ✨</t>
  </si>
  <si>
    <t>This is absolutely gorgeous, lovely shape design, I want to live there ❤️</t>
  </si>
  <si>
    <t>How dare you show us this awesome piece!🔥🙌</t>
  </si>
  <si>
    <t>Love these man! Cool work 🤌🏻</t>
  </si>
  <si>
    <t>So beautiful man! Love it</t>
  </si>
  <si>
    <t>Sick work! 🙌</t>
  </si>
  <si>
    <t>I agree with your philosophy and have been trying to do a similar thing of working on a small section of the design process instead of moving on and expanding out quickly</t>
  </si>
  <si>
    <t>Cy-If2RN884</t>
  </si>
  <si>
    <t>PRECIOSO CAMPO que termina en aquella ARBOLEDA !! -&gt; tiene un DIFUMINADO asi como cierta borrosidad que parece que se MUEVE todo!! Refleja mucho los ELEMENTOS de la NATURALEZA 😍🥰😮😳🧐-&gt; es IMPRESIONANTE esa mezcla de colores y textura!! 🧐🧐😳😮 otra GENIALIDAD 😍 que PINTURA dios mio 🥰🫠</t>
  </si>
  <si>
    <t>The light green areas at the bottom pull the eyes down as if they were the subject. Otherwise, nice.</t>
  </si>
  <si>
    <t>Oh!!Tus amapolas❤️</t>
  </si>
  <si>
    <t>😳😮🧐 ramitas , hierbitas, florecitas , pequeños detallitos microscópicos🧐 te pierdes … 😮 un auténtico ESPECTÁCULO visual que agradable 😳🧐 me encanta 😍🥰</t>
  </si>
  <si>
    <t>Stunning 😍😍😍</t>
  </si>
  <si>
    <t>Eres un fenómeno 🔥🔥🔥👏👏</t>
  </si>
  <si>
    <t>Hola Fermín Tienes tutoriales o clases grupales online?</t>
  </si>
  <si>
    <t>Can you give me  likes ❤️ in my paintings?</t>
  </si>
  <si>
    <t>👏👏👏👏👏👏👏👏👏</t>
  </si>
  <si>
    <t>¿Quién es un autor?</t>
  </si>
  <si>
    <t>It’s amazingly beautiful!!! so inspiring ❤️</t>
  </si>
  <si>
    <t>خیلی خیلی عالیه</t>
  </si>
  <si>
    <t>Absolutamente maravilloso !  Que bonito !!!!! 😍😍😍👏👏👏</t>
  </si>
  <si>
    <t>WOW!! ❤️</t>
  </si>
  <si>
    <t>😮😮😮😮❤️🙌MAGNÍFICO!!!👏👏</t>
  </si>
  <si>
    <t>Invita a caminar y mecerse en esa naturaleza tan bella y acogedora. 😍😍😍</t>
  </si>
  <si>
    <t>Muito talentoso, parabéns ❤️</t>
  </si>
  <si>
    <t>👌👌👏🎨</t>
  </si>
  <si>
    <t>Impresionante. Una gozada disfrutar tus obras. Un abrazo</t>
  </si>
  <si>
    <t>Superrrrr😍</t>
  </si>
  <si>
    <t>Una maravilla Fermín ❤️</t>
  </si>
  <si>
    <t>Qué preciosidad</t>
  </si>
  <si>
    <t>Que colorido 😍 amé</t>
  </si>
  <si>
    <t>👏👏👏🔥🙌🙌 Abrazo enorme Hermano!</t>
  </si>
  <si>
    <t>👏👏😍</t>
  </si>
  <si>
    <t>Wow !!!! 😍🥰🥰🥰</t>
  </si>
  <si>
    <t>👏👏👏👏👏😍</t>
  </si>
  <si>
    <t>You are a wonderful artist. I love your art works.</t>
  </si>
  <si>
    <t>Beautiful🩷💖💗👏👏👏🙏</t>
  </si>
  <si>
    <t>So schön👏👏👏❤️❤️❤️</t>
  </si>
  <si>
    <t>You are amazing</t>
  </si>
  <si>
    <t>Beautiful painting, I love the way you painted the trees and showed light 🙂</t>
  </si>
  <si>
    <t>😍❤️😍</t>
  </si>
  <si>
    <t>Work</t>
  </si>
  <si>
    <t>Nice depth</t>
  </si>
  <si>
    <t>🌹</t>
  </si>
  <si>
    <t>👏 beautiful!</t>
  </si>
  <si>
    <t>➡️💎⬅️👌👏💛</t>
  </si>
  <si>
    <t>💚💙</t>
  </si>
  <si>
    <t>Amazing</t>
  </si>
  <si>
    <t>Nice</t>
  </si>
  <si>
    <t>DTD6ISFD4Q-</t>
  </si>
  <si>
    <t>Really like the vibes 💫</t>
  </si>
  <si>
    <t>This is insane, I thought it was a photograph</t>
  </si>
  <si>
    <t>❤️🔥</t>
  </si>
  <si>
    <t>💯💯💯</t>
  </si>
  <si>
    <t>Some of my favorite art I've ever seen</t>
  </si>
  <si>
    <t>Perfection 😍</t>
  </si>
  <si>
    <t>Wow ✨</t>
  </si>
  <si>
    <t>❤️🔥👏😍 ;) 👏🔥❤️</t>
  </si>
  <si>
    <t>🙌🙌</t>
  </si>
  <si>
    <t>Wow😍</t>
  </si>
  <si>
    <t>Jesus😍🤍</t>
  </si>
  <si>
    <t>Цена?</t>
  </si>
  <si>
    <t>THIS WOMAN SUPPORTS ICE. HOW IRONIC</t>
  </si>
  <si>
    <t>CzWZhRMPvrq</t>
  </si>
  <si>
    <t>Your attention to detail in this sketch is astonishing.,Every stroke tells a story to viewers.👏🔥🎉Keep it up</t>
  </si>
  <si>
    <t>Woww!!! This is so beautiful 😍😍</t>
  </si>
  <si>
    <t>Wow!!! Amazing work 👏👏👏👏👏</t>
  </si>
  <si>
    <t>Outstanding ❤️</t>
  </si>
  <si>
    <t>exquisite😍😍</t>
  </si>
  <si>
    <t>beautiful 😍😍👏👏</t>
  </si>
  <si>
    <t>Beautiful ❤️❤️. I loved how you highlighted the hair with green, creating a harmonious contrast with the natural surroundings, as if the hair is an extension of the earth itself.🙌</t>
  </si>
  <si>
    <t>🌿🍀🍃Excellent art  work🖼🌿🍃🍀🖌️Dear Madhu💐🫶🥰</t>
  </si>
  <si>
    <t>So pretty!!!</t>
  </si>
  <si>
    <t>Lovely!</t>
  </si>
  <si>
    <t>मस्त वर्क</t>
  </si>
  <si>
    <t>बहुत खूब</t>
  </si>
  <si>
    <t>Wow🙌</t>
  </si>
  <si>
    <t>Wow😮🔥🔥🔥🔥</t>
  </si>
  <si>
    <t>Wow!!!😍😍</t>
  </si>
  <si>
    <t>Wow mesmerizing 🙌</t>
  </si>
  <si>
    <t>Wow it is beautiful😍❤️</t>
  </si>
  <si>
    <t>Wow 😮😍</t>
  </si>
  <si>
    <t>Wow 🔥🔥🔥so perfection</t>
  </si>
  <si>
    <t>Wow ❤️</t>
  </si>
  <si>
    <t>Wonderful! 👌😍👏❤️🌹</t>
  </si>
  <si>
    <t>Wonderful work 👏🎨🔥🤗✨️❤️</t>
  </si>
  <si>
    <t>What a great art 😍</t>
  </si>
  <si>
    <t>Waw❤️😍</t>
  </si>
  <si>
    <t>Very well done and beautiful artwork ♡♡♡</t>
  </si>
  <si>
    <t>Stunning work !!👏👏👏❤️❤️</t>
  </si>
  <si>
    <t>So beautiful 🥰😍</t>
  </si>
  <si>
    <t>Marvelous ❤️😍</t>
  </si>
  <si>
    <t>I thought... Priyanka Chopra</t>
  </si>
  <si>
    <t>How amazing ❤️</t>
  </si>
  <si>
    <t>Beautiful work 💯💐☘️</t>
  </si>
  <si>
    <t>Beautiful ❤️</t>
  </si>
  <si>
    <t>Awesome😍👏👏👏👏</t>
  </si>
  <si>
    <t>Amazing😍🔥🔥❤️❤️</t>
  </si>
  <si>
    <t>👌👌👌</t>
  </si>
  <si>
    <t>👌🏻👌🏻♥️</t>
  </si>
  <si>
    <t>❤️👌</t>
  </si>
  <si>
    <t>❤️❤️👌👍👍👍🔥🔥🔥🔥🔥This is natural and Charming art 👌</t>
  </si>
  <si>
    <t>@par_vathy It looks like you</t>
  </si>
  <si>
    <t>@magazine.of_art◀️@l.o.v.e.to👈send pic</t>
  </si>
  <si>
    <t>C5-XuYytQJA</t>
  </si>
  <si>
    <t>Il est magnifique 😍👏👏👏</t>
  </si>
  <si>
    <t>Waaaaaaw mais il est magnifique 😍</t>
  </si>
  <si>
    <t>J'adore ton ciel ! 😍👏</t>
  </si>
  <si>
    <t>Magnifique 😍</t>
  </si>
  <si>
    <t>Il est trop beau 😍😍😍</t>
  </si>
  <si>
    <t>Omg, this is gorgoues, I love Belle 😍</t>
  </si>
  <si>
    <t>So lovely 💞💞🎼🎼💞💞🎵🎵💞💞🎶🎶✏✏🖌🖌🎨🎨💗💗 Happy day Johanna 💞💞🌸🌸</t>
  </si>
  <si>
    <t>Wonderful coloring 😍</t>
  </si>
  <si>
    <t>Magnifique 😍 bravo 👏</t>
  </si>
  <si>
    <t>Superbe comme toujours ❤️❤️❤️</t>
  </si>
  <si>
    <t>Magnifique!!! Le ciel est splendide, la petite maison on a envie d'y habiter 😍</t>
  </si>
  <si>
    <t>Sublime 🤩🤩🤩👏</t>
  </si>
  <si>
    <t>Trop beau johanna ❤️</t>
  </si>
  <si>
    <t>😍👏👏magnifique</t>
  </si>
  <si>
    <t>Superbe 😍. Ce ciel !!!</t>
  </si>
  <si>
    <t>Superbe! 😍</t>
  </si>
  <si>
    <t>Magnifique ✨</t>
  </si>
  <si>
    <t>Encore un colo canon</t>
  </si>
  <si>
    <t>Splendide 😍</t>
  </si>
  <si>
    <t>C super beau Johanna, c lumineux. Bravo 👏 !</t>
  </si>
  <si>
    <t>Superbe, j’aime beaucoup l’effet que tu as fait dans le ciel 👏👏👏</t>
  </si>
  <si>
    <t>Il est splendide ma belle 😍 c’est super beau les couleurs</t>
  </si>
  <si>
    <t>Sublime ❤️</t>
  </si>
  <si>
    <t>Quelle beauté 😍</t>
  </si>
  <si>
    <t>Incroyable ❤️</t>
  </si>
  <si>
    <t>Poulouloulou 😍🤩🤩😍😍😍😍❤️❤️❤️🙌🙌🙌🔥🔥🔥</t>
  </si>
  <si>
    <t>Magnifique, le fond je le trouve tellement extraordinaire</t>
  </si>
  <si>
    <t>Ce ciel est juste superbe 😍✨</t>
  </si>
  <si>
    <t>Sublime 💙</t>
  </si>
  <si>
    <t>C’est tellement beau, j’adore 🥰</t>
  </si>
  <si>
    <t>Oh mais wouah 😍</t>
  </si>
  <si>
    <t>DVOsQAMiOGY</t>
  </si>
  <si>
    <t>These are fun!</t>
  </si>
  <si>
    <t>So lovely 😍👏</t>
  </si>
  <si>
    <t>Amazing 😍😍</t>
  </si>
  <si>
    <t>✨✨✨✨✨🥰🥰🥰🥰❤️✨</t>
  </si>
  <si>
    <t>☺️👌🏼✨</t>
  </si>
  <si>
    <t>So beautiful 😍😍😍</t>
  </si>
  <si>
    <t>Ooooh trop trop joli, tellement attendrissant 👏👏😍❤️</t>
  </si>
  <si>
    <t>How cute🤍🤍🤍🤍</t>
  </si>
  <si>
    <t>Very cute 😍😍😍</t>
  </si>
  <si>
    <t>Very beautiful! 👏👏❤️❤️</t>
  </si>
  <si>
    <t>OMG! So adorable!! ❤️❤️</t>
  </si>
  <si>
    <t>Aww, too cute 🥺</t>
  </si>
  <si>
    <t>Awesome work 😍😍😍👏👏👏🔥so adorable 🥰🥰🥰🥰🥰🥰</t>
  </si>
  <si>
    <t>Adorable 😍</t>
  </si>
  <si>
    <t>Adorable ❤️❤️❤️</t>
  </si>
  <si>
    <t>😮😮👏👏👏</t>
  </si>
  <si>
    <t>😮🔥🔥🔥👏👏👏</t>
  </si>
  <si>
    <t>❤️😍❤️😍❤️😍❤️😍</t>
  </si>
  <si>
    <t>#creative lovely kitties 😻</t>
  </si>
  <si>
    <t>Purrifically cat-dorable 😻😻😻</t>
  </si>
  <si>
    <t>Adorable 👏👏</t>
  </si>
  <si>
    <t>❣️🌛💜🌛❣️</t>
  </si>
  <si>
    <t>어머나 귀여워 😍 🙈 💕 😚 😘 😄</t>
  </si>
  <si>
    <t>Wonderful 😍 So beautiful 👏👏❤️</t>
  </si>
  <si>
    <t>Totally cute! 👏👏👏👏❤️❤️❤️😍😍😍😍</t>
  </si>
  <si>
    <t>Super👏🔥👏🔥👏🔥👏🔥👏🔥👏</t>
  </si>
  <si>
    <t>Soooo sweeet 😍😍😍😍😍</t>
  </si>
  <si>
    <t>Soooo putzig ❤️😍❤️</t>
  </si>
  <si>
    <t>so cute😍😍😍👏🐱 🐈 🐱</t>
  </si>
  <si>
    <t>so cute</t>
  </si>
  <si>
    <t>Muy lindo . 👏👏👏👏👏🤍🧡</t>
  </si>
  <si>
    <t>Magnifique 🐱❤️</t>
  </si>
  <si>
    <t>It Is cute!!!</t>
  </si>
  <si>
    <t>Incredibly cute!!!</t>
  </si>
  <si>
    <t>I like the second drawing the best. Thanks for sharing. 🔥👏</t>
  </si>
  <si>
    <t>I like it!</t>
  </si>
  <si>
    <t>Fofo 😍😍😍</t>
  </si>
  <si>
    <t>Beautiful ❤️❤️🫰🌸🌹💐</t>
  </si>
  <si>
    <t>Awww❤️</t>
  </si>
  <si>
    <t>Awww so cute. 🐾❤️</t>
  </si>
  <si>
    <t>Adorable art!!@❤️</t>
  </si>
  <si>
    <t>Aaaah, these cats are só cute!!! The first one is my favorite. ❤️❤️❤️</t>
  </si>
  <si>
    <t>😍😍😍the last one is so sweet and funny🤗</t>
  </si>
  <si>
    <t>DU3SuY6CELe</t>
  </si>
  <si>
    <t>Vraiment très beau 👏👏👏❤️</t>
  </si>
  <si>
    <t>Stunning ponies😍</t>
  </si>
  <si>
    <t>Gorgeous 🤎</t>
  </si>
  <si>
    <t>Beautifull !!</t>
  </si>
  <si>
    <t>Uw eerste liefde 🤩</t>
  </si>
  <si>
    <t>Lovely 🔥</t>
  </si>
  <si>
    <t>These are lovely 😍</t>
  </si>
  <si>
    <t>Utter magic</t>
  </si>
  <si>
    <t>These are all so beautiful!</t>
  </si>
  <si>
    <t>😍😍👌🏻</t>
  </si>
  <si>
    <t>This is very inspirational! Beautiful 🥰</t>
  </si>
  <si>
    <t>🙌 These are so beautiful ❤️</t>
  </si>
  <si>
    <t>Beautiful …. Also the presentation👏</t>
  </si>
  <si>
    <t>Love love love these 😍😍😍</t>
  </si>
  <si>
    <t>These pieces are truly remarkable! The paper appears to be quite unique, especially with that atmospheric, uneven edge — it adds so much character!🔥😍</t>
  </si>
  <si>
    <t>Oh goodness!! Incredible my friend!</t>
  </si>
  <si>
    <t>Zooo prachtig weer!</t>
  </si>
  <si>
    <t>Wauw prachtig!😍</t>
  </si>
  <si>
    <t>This is so beautiful</t>
  </si>
  <si>
    <t>Love these so much ❤️</t>
  </si>
  <si>
    <t>These are so gorgeous! 💌</t>
  </si>
  <si>
    <t>These delicate horse sketches on the textured handmade paper are beautiful, and I love how you've styled them with clover leaves and the aged wooden tray—so serene.</t>
  </si>
  <si>
    <t>Obsessed</t>
  </si>
  <si>
    <t>This is soo soo beautiful!</t>
  </si>
  <si>
    <t>These are stunning!!!🐴😍</t>
  </si>
  <si>
    <t>What kind of paper is this?😍🙌</t>
  </si>
  <si>
    <t>These are beautiful</t>
  </si>
  <si>
    <t>Ohh they look absolutely gorgeous! ❤️😍👏</t>
  </si>
  <si>
    <t>Beautiful</t>
  </si>
  <si>
    <t>Wow 😍</t>
  </si>
  <si>
    <t>THE DETAILS IS INCREDIBLE😍😍😍😍😍😍😍😍</t>
  </si>
  <si>
    <t>I’ve just been looking through your page and I love all your sketches!! It’s really encouraging to see! I LOVE sketching, but sometimes fear people don’t like them as much because pencil sketches don’t have color… anyway. Love what your doing here ❤️❤️</t>
  </si>
  <si>
    <t>Would love to buy some</t>
  </si>
  <si>
    <t>Love ❤️</t>
  </si>
  <si>
    <t>My best ✨</t>
  </si>
  <si>
    <t>DRJ6WbgDHPj</t>
  </si>
  <si>
    <t>Her dress details are so pretty ❤️! Amazing work😍</t>
  </si>
  <si>
    <t>Awww this is so pretty and beautiful! 🥹🧡🩷</t>
  </si>
  <si>
    <t>How beautiful 🥺🤲💖 I love her dress 🥹💕</t>
  </si>
  <si>
    <t>Wow this is so beautiful! 🍎♥️</t>
  </si>
  <si>
    <t>OMG! She's so lovely! I love her dress. And that she's a fairy is so magical 😍💜</t>
  </si>
  <si>
    <t>This is such a beautiful crab apple fairy 🧚 🍎✨ love her dress!! and the clouds are so magical 😍 thank you so much for joining our challenge ☺️</t>
  </si>
  <si>
    <t>She’s absolutely stunning, so soft, dreamy, and full of autumn charm 🍎✨ The flowing dress, warm colors, and gentle mood make this Crab Apple Fall Fairy feel like a scene from a beautiful storybook. Thank you for joining our challenge with such a graceful and magical piece! 🍂🧚‍♀️🌟</t>
  </si>
  <si>
    <t>Holy wow 🤩!!!! Your work is fabulous! I am blown away by the amount of detail you’ve added to the scene, especially the detail and illustration work that you did with her dress! That is super impressive! I love the colors that you’ve used. They feel so warm and cozy! 😍 Thank you so much for joining our challenge! Your support means everything! 🙌❤</t>
  </si>
  <si>
    <t>Wow, such a beauty!</t>
  </si>
  <si>
    <t>The outfit on the figure looks stunning. The colors and the mood you created are amazing, as always. ☺️❤️🌺</t>
  </si>
  <si>
    <t>Such a beautiful dress!! 🧚‍♂️🧚🧚‍♀️</t>
  </si>
  <si>
    <t>Ah she is so graceful 😍😮</t>
  </si>
  <si>
    <t>Wow! This is awesome! Everything is perfect about it! 😍 she is a real beautyqueen :) Thank you for joining us!</t>
  </si>
  <si>
    <t>This is absolutely gorgeous❤️ She looks like she just stepped out of a fairytale! I love the crab apple print on her dress🍎❤️ such a beautiful detail. 🍎✨Thanks for joining our challenge 🤎🧡🤗</t>
  </si>
  <si>
    <t>DSIYSSbDNd_</t>
  </si>
  <si>
    <t>🕷🕸👏</t>
  </si>
  <si>
    <t>Tolto il follow con molto piacere, peccato. Avrei voluto commentare positivamente. Buona arte. Saluti</t>
  </si>
  <si>
    <t>THE ULTIMATE SPIDER-MAN ILLUSTRATION! 😍😍😍😍😍</t>
  </si>
  <si>
    <t>WOWWWWW!!! 😍😍😍😍 I love it so much! ❤️</t>
  </si>
  <si>
    <t>Omg It is amazing !</t>
  </si>
  <si>
    <t>Absolutely incredible work brother!! Well done!🔥🔥🔥🔥🔥</t>
  </si>
  <si>
    <t>Wow bro what a piece 🤌✨️ the pose, the shading ... e erything perfect 🔥🔥🔥🔥🔥</t>
  </si>
  <si>
    <t>The bold primary colors combined with the pose makes him almost pop right off the page! The texture if the webs turned out amazing too! Great job on another masterpiece, Noops!! 🔥🔥❤️‍🔥😲👏👏🙌🙌🙌✨️</t>
  </si>
  <si>
    <t>THIS IS SO FIRE 😮‍💨😮‍💨😮‍💨😮‍💨</t>
  </si>
  <si>
    <t>Based</t>
  </si>
  <si>
    <t>👏🙌🙌👏🙌👏</t>
  </si>
  <si>
    <t>Wild 🔥🔥🔥 nailed it noops!</t>
  </si>
  <si>
    <t>Sheeeshhhh</t>
  </si>
  <si>
    <t>Magnificent work 😎🙌🏽🔥🔥🔥</t>
  </si>
  <si>
    <t>This Spider-Man artwork is pure visual perfection! The colors vibrate with life, the gleam in his eyes conveys presence — a true work of art that unites technique and emotion. Great work bro!!! It’s awesome!!! 👏🏻👏🏻🔥🔥🔥</t>
  </si>
  <si>
    <t>First 🔥 those webs are really amazing, I can imagine the time it took you! 🕸️🔥</t>
  </si>
  <si>
    <t>Yooo that's so dope🔥🔥🔥🔥....cooked it really well..thank for making me look spectacular as usual 😍</t>
  </si>
  <si>
    <t>Bruh, its peak</t>
  </si>
  <si>
    <t>Peak!!!!🔥🔥🔥 amazing work !!🙌🔥👏😍</t>
  </si>
  <si>
    <t>🕸️🕸️🕸️this so great... absolutly perfect 🤩🤩🤩</t>
  </si>
  <si>
    <t>Put this masterpiece of spider man on a shirt goddaaaaaamn!!!🔥🔥🔥😩😬💯💣</t>
  </si>
  <si>
    <t>That’s SICKK!! 🔥</t>
  </si>
  <si>
    <t>Absolutely peakkk🔥🔥🔥🔥 u are so talented</t>
  </si>
  <si>
    <t>Everything about this piece is excellent 👌😍, one of my fav from you, the colours are perfect the pose is amazing love the 🕸️ too, very well executed 🔥😍😮</t>
  </si>
  <si>
    <t>😮whoaaa 🔥how did u do this🙌🛐</t>
  </si>
  <si>
    <t>🔥supaida man🙌</t>
  </si>
  <si>
    <t>EPICCCC❤️‍🔥❤️‍🔥❤️‍🔥</t>
  </si>
  <si>
    <t>👏👏👏nice</t>
  </si>
  <si>
    <t>Okay baby that looks sooooooo good 😍</t>
  </si>
  <si>
    <t>AMAZING🔥you're so good!!! This looks 3D😍 the yellow background makes it really pop✨️🙌</t>
  </si>
  <si>
    <t>It even looks 3D! 🔥🔥🔥🔥🔥🔥🔥🔥🔥🔥🔥🔥🔥🔥</t>
  </si>
  <si>
    <t>Excellent 🔥🔥🔥🔥🔥🔥🔥</t>
  </si>
  <si>
    <t>You nailed it !! The light effects, the colours .... Wow 🔥</t>
  </si>
  <si>
    <t>Incredible 😍🔥</t>
  </si>
  <si>
    <t>Love this artwork! The colors are amazing ! ❤️❤️❤️</t>
  </si>
  <si>
    <t>My spider senses are tingling 🕷️🕸️ phenomenal art 🙌💚🔥🔥🔥🔥🔥</t>
  </si>
  <si>
    <t>spidey is literally popping out the page! i love this one especially with the web 🔥👏❤️</t>
  </si>
  <si>
    <t>Wow, fantastic! I can see the amount of work and time you invested, amazing work! 🔥👏❤️</t>
  </si>
  <si>
    <t>🔥🔥 bro is cooking</t>
  </si>
  <si>
    <t>That's so clean</t>
  </si>
  <si>
    <t>This is incredible Noops!!! I love how you make the colors pop!!! 🔥🔥❤️</t>
  </si>
  <si>
    <t>Amazing 😍❤️🔥🔥🔥👏👏👏🕸🕷</t>
  </si>
  <si>
    <t>Wowww thats awesome, absolutely love it 🔥🙌❤️</t>
  </si>
  <si>
    <t>Amazing 😍😍😍👏🔥</t>
  </si>
  <si>
    <t>DUSV9KtAh7_</t>
  </si>
  <si>
    <t>Hieno sulavalinjainen delffiini 😍🐬💙 Kyllä sun pitää nyt vähän ylypee olla, vaikka ei pohjolassa ite saisi 💪🏻😄</t>
  </si>
  <si>
    <t>That looks so good, Jonna! 😍😍🥰🥰👏👏👏 yesss I’d be so proud myself if I could produce something like that 😍♥️</t>
  </si>
  <si>
    <t>You are going on a brand new adventure, just like this amazing little dolphin seems to be doing 🐬 You got this homie! 👊</t>
  </si>
  <si>
    <t>😍😍😍 omg!!!!</t>
  </si>
  <si>
    <t>This is so good, one of your best animals I think 👏👏 And your comment about trying new things and being kind to yourself, well, I totally agree. It's so easy to be self-critical about your art. Personally I'm never happy with what I paint but I get so little time to do it, that I have to just say 'That'll do!' and move on. I'm going to learn more about mountains and the sea for a while anyway. Good luck in all you do and I look forward to seeing your new creations</t>
  </si>
  <si>
    <t>😍 🐬 very cute</t>
  </si>
  <si>
    <t>Priceless advice! Thus little guy is so cute 🥰 looking forward to your brave new art adventures this year!</t>
  </si>
  <si>
    <t>Soooo wunderschön 😍🥰🫶🏻</t>
  </si>
  <si>
    <t>😍👏amazing</t>
  </si>
  <si>
    <t>Beautifully painted and well said 🙌</t>
  </si>
  <si>
    <t>Looks so good, talented af!! 🔥😍</t>
  </si>
  <si>
    <t>So cute</t>
  </si>
  <si>
    <t>I love dolphins🐬🐬🐬</t>
  </si>
  <si>
    <t>🥹🥹🥹💖💖💖💖 love love love love love love love!</t>
  </si>
  <si>
    <t>DQ7CQx0gr5i</t>
  </si>
  <si>
    <t>Gorgeous gorgeous gorgeous!👏👏👏👏</t>
  </si>
  <si>
    <t>Wow 😍 diese Augen! Ein wunderbares Bild 👏👏👏❤️</t>
  </si>
  <si>
    <t>Große Klasse geworden! Und eine tolle Farbauswahl 😍😍😍</t>
  </si>
  <si>
    <t>Einfach phänomenal Silvia 😍</t>
  </si>
  <si>
    <t>Sensationell Silvia😍</t>
  </si>
  <si>
    <t>❤️👏👏</t>
  </si>
  <si>
    <t>Mega Mega gut!!❤️</t>
  </si>
  <si>
    <t>Fantastic work 👏👏👏👏</t>
  </si>
  <si>
    <t>Incredible work 👏😍</t>
  </si>
  <si>
    <t>👏</t>
  </si>
  <si>
    <t>Soooo wunderschön geworden 😍🔥🔥🔥🔥🔥</t>
  </si>
  <si>
    <t>Meraviglioso</t>
  </si>
  <si>
    <t>So cute ❤️</t>
  </si>
  <si>
    <t>Das Ergebnis ist wirklich großartig 😍👏👏😍der Realismus ist fantastisch 👌🏼👌🏼👌🏼👌🏼</t>
  </si>
  <si>
    <t>Ich mag deine Farbpalette sehr sehr sehr 😍 Silvia rockt... wie immer ❤️</t>
  </si>
  <si>
    <t>Wonderful</t>
  </si>
  <si>
    <t>wunderschönes Katzenportrait 💯👏🏻😻</t>
  </si>
  <si>
    <t>Gorgeous Silvia!!❤️</t>
  </si>
  <si>
    <t>Supertoll 👏🔥❤️</t>
  </si>
  <si>
    <t>This is gorgeous Silvia! Those beautiful eyes 😻❤️</t>
  </si>
  <si>
    <t>Great picture and colors👏🎨🖌💜🙏</t>
  </si>
  <si>
    <t>Oh ich liebe es. So so schön. Und den Blick hast du perfekt eingefangen. 😍</t>
  </si>
  <si>
    <t>Stunning 😍👏👏</t>
  </si>
  <si>
    <t>Wunderschön die Miez😍</t>
  </si>
  <si>
    <t>@silviafreiportraits  Wonderful! 🫶</t>
  </si>
  <si>
    <t>Es sieht so lebendig aus 😍 Sehr beeindruckend! 👏</t>
  </si>
  <si>
    <t>Krass, wie realistisch Duden Blick eingefangen hast😍 phänomenal 😮</t>
  </si>
  <si>
    <t>Love this Silvia!😍👏🏻👏🏻</t>
  </si>
  <si>
    <t>That is so beautiful ❤️</t>
  </si>
  <si>
    <t>Das ist wunderschön geworden!!👏❤️</t>
  </si>
  <si>
    <t>Love this!</t>
  </si>
  <si>
    <t>Absolutely adorable and excellent. I think you are a wonderful artist thanks for sharing</t>
  </si>
  <si>
    <t>Wow! ❤️❤️❤️</t>
  </si>
  <si>
    <t>Toll geworden Silvia 🥰</t>
  </si>
  <si>
    <t>👍👍👍💜💜💜❤❤❤</t>
  </si>
  <si>
    <t>😍❤️❤️</t>
  </si>
  <si>
    <t>so eine schöne Katze😍Habe mein erstes Alkoholtinte Bild fertiggestellt hast du's gesehen?</t>
  </si>
  <si>
    <t>DPl8zFJCG_-</t>
  </si>
  <si>
    <t>DMKbF9jiE18</t>
  </si>
  <si>
    <t>DSQphyuDFC1</t>
  </si>
  <si>
    <t>C_aGVOMymRL</t>
  </si>
  <si>
    <t>DL41F9qgFZX</t>
  </si>
  <si>
    <t>DC40mMHy_a0</t>
  </si>
  <si>
    <t>DSqevPEkjKs</t>
  </si>
  <si>
    <t>CognJlkJbtU</t>
  </si>
  <si>
    <t>DPor_WlDO4I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</si>
</sst>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h:mm am/pm"/>
    <numFmt numFmtId="165" formatCode="mmmm d, yyyy, h:mm am/pm"/>
  </numFmts>
  <fonts count="22">
    <font>
      <sz val="10.0"/>
      <color rgb="FF000000"/>
      <name val="Arial"/>
      <scheme val="minor"/>
    </font>
    <font>
      <u/>
      <color rgb="FF1155CC"/>
      <name val="Arial"/>
    </font>
    <font>
      <color theme="1"/>
      <name val="Arial"/>
    </font>
    <font>
      <color theme="1"/>
      <name val="Arial"/>
      <scheme val="minor"/>
    </font>
    <font>
      <u/>
      <color rgb="FF0000FF"/>
    </font>
    <font>
      <u/>
      <color rgb="FF0000FF"/>
    </font>
    <font>
      <u/>
      <color rgb="FF0000FF"/>
    </font>
    <font>
      <u/>
      <color rgb="FF0000FF"/>
    </font>
    <font>
      <u/>
      <color rgb="FF0000FF"/>
    </font>
    <font>
      <u/>
      <color rgb="FF0000FF"/>
    </font>
    <font>
      <u/>
      <color rgb="FF1155CC"/>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s>
  <fills count="10">
    <fill>
      <patternFill patternType="none"/>
    </fill>
    <fill>
      <patternFill patternType="lightGray"/>
    </fill>
    <fill>
      <patternFill patternType="solid">
        <fgColor rgb="FFFFFF00"/>
        <bgColor rgb="FFFFFF00"/>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FFF2CC"/>
        <bgColor rgb="FFFFF2CC"/>
      </patternFill>
    </fill>
  </fills>
  <borders count="1">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horizontal="center" readingOrder="0"/>
    </xf>
    <xf borderId="0" fillId="3" fontId="3" numFmtId="0" xfId="0" applyAlignment="1" applyFill="1" applyFont="1">
      <alignment horizontal="center" readingOrder="0"/>
    </xf>
    <xf borderId="0" fillId="3" fontId="3" numFmtId="0" xfId="0" applyAlignment="1" applyFont="1">
      <alignment horizontal="center" readingOrder="0" shrinkToFit="0" wrapText="0"/>
    </xf>
    <xf borderId="0" fillId="3" fontId="3" numFmtId="0" xfId="0" applyAlignment="1" applyFont="1">
      <alignment horizontal="center" readingOrder="0" shrinkToFit="0" wrapText="1"/>
    </xf>
    <xf borderId="0" fillId="4" fontId="3" numFmtId="0" xfId="0" applyAlignment="1" applyFill="1" applyFont="1">
      <alignment horizontal="center" readingOrder="0"/>
    </xf>
    <xf borderId="0" fillId="5" fontId="3" numFmtId="0" xfId="0" applyAlignment="1" applyFill="1" applyFont="1">
      <alignment horizontal="center" readingOrder="0"/>
    </xf>
    <xf borderId="0" fillId="5" fontId="3" numFmtId="0" xfId="0" applyAlignment="1" applyFont="1">
      <alignment horizontal="center" readingOrder="0" shrinkToFit="0" wrapText="0"/>
    </xf>
    <xf borderId="0" fillId="2" fontId="3" numFmtId="0" xfId="0" applyAlignment="1" applyFont="1">
      <alignment horizontal="center" readingOrder="0" shrinkToFit="0" wrapText="1"/>
    </xf>
    <xf borderId="0" fillId="2" fontId="3" numFmtId="0" xfId="0" applyAlignment="1" applyFont="1">
      <alignment horizontal="center" readingOrder="0" shrinkToFit="0" vertical="center" wrapText="1"/>
    </xf>
    <xf borderId="0" fillId="2" fontId="3" numFmtId="0" xfId="0" applyAlignment="1" applyFont="1">
      <alignment horizontal="center" readingOrder="0"/>
    </xf>
    <xf borderId="0" fillId="2" fontId="4" numFmtId="0" xfId="0" applyAlignment="1" applyFont="1">
      <alignment readingOrder="0" shrinkToFit="0" wrapText="0"/>
    </xf>
    <xf borderId="0" fillId="2" fontId="3" numFmtId="0" xfId="0" applyAlignment="1" applyFont="1">
      <alignment horizontal="center" readingOrder="0" shrinkToFit="0" wrapText="0"/>
    </xf>
    <xf borderId="0" fillId="2" fontId="3" numFmtId="0" xfId="0" applyAlignment="1" applyFont="1">
      <alignment readingOrder="0" shrinkToFit="0" wrapText="1"/>
    </xf>
    <xf borderId="0" fillId="2" fontId="3" numFmtId="0" xfId="0" applyAlignment="1" applyFont="1">
      <alignment horizontal="left" readingOrder="0" shrinkToFit="0" vertical="center" wrapText="0"/>
    </xf>
    <xf borderId="0" fillId="2" fontId="3" numFmtId="0" xfId="0" applyAlignment="1" applyFont="1">
      <alignment readingOrder="0"/>
    </xf>
    <xf borderId="0" fillId="2" fontId="2" numFmtId="0" xfId="0" applyAlignment="1" applyFont="1">
      <alignment horizontal="center" shrinkToFit="0" wrapText="1"/>
    </xf>
    <xf borderId="0" fillId="0" fontId="5" numFmtId="0" xfId="0" applyAlignment="1" applyFont="1">
      <alignment readingOrder="0" shrinkToFit="0" wrapText="0"/>
    </xf>
    <xf borderId="0" fillId="0" fontId="3" numFmtId="0" xfId="0" applyAlignment="1" applyFont="1">
      <alignment horizontal="center" readingOrder="0" shrinkToFit="0" wrapText="0"/>
    </xf>
    <xf borderId="0" fillId="0" fontId="3" numFmtId="0" xfId="0" applyAlignment="1" applyFont="1">
      <alignment readingOrder="0" shrinkToFit="0" wrapText="1"/>
    </xf>
    <xf borderId="0" fillId="0" fontId="3" numFmtId="0" xfId="0" applyAlignment="1" applyFont="1">
      <alignment horizontal="left" readingOrder="0" shrinkToFit="0" vertical="center" wrapText="0"/>
    </xf>
    <xf borderId="0" fillId="0" fontId="3" numFmtId="0" xfId="0" applyAlignment="1" applyFont="1">
      <alignment readingOrder="0"/>
    </xf>
    <xf borderId="0" fillId="0" fontId="3" numFmtId="0" xfId="0" applyAlignment="1" applyFont="1">
      <alignment shrinkToFit="0" wrapText="1"/>
    </xf>
    <xf borderId="0" fillId="0" fontId="6" numFmtId="0" xfId="0" applyAlignment="1" applyFont="1">
      <alignment horizontal="left" readingOrder="0" shrinkToFit="0" vertical="bottom" wrapText="0"/>
    </xf>
    <xf borderId="0" fillId="0" fontId="7" numFmtId="0" xfId="0" applyAlignment="1" applyFont="1">
      <alignment readingOrder="0" shrinkToFit="0" wrapText="0"/>
    </xf>
    <xf borderId="0" fillId="6" fontId="3" numFmtId="0" xfId="0" applyAlignment="1" applyFill="1" applyFont="1">
      <alignment horizontal="center" readingOrder="0" shrinkToFit="0" vertical="center" wrapText="1"/>
    </xf>
    <xf borderId="0" fillId="6" fontId="3" numFmtId="0" xfId="0" applyAlignment="1" applyFont="1">
      <alignment horizontal="center" readingOrder="0"/>
    </xf>
    <xf borderId="0" fillId="6" fontId="8" numFmtId="0" xfId="0" applyAlignment="1" applyFont="1">
      <alignment readingOrder="0" shrinkToFit="0" wrapText="0"/>
    </xf>
    <xf borderId="0" fillId="6" fontId="3" numFmtId="0" xfId="0" applyAlignment="1" applyFont="1">
      <alignment horizontal="center" readingOrder="0" shrinkToFit="0" wrapText="0"/>
    </xf>
    <xf borderId="0" fillId="6" fontId="3" numFmtId="0" xfId="0" applyAlignment="1" applyFont="1">
      <alignment readingOrder="0" shrinkToFit="0" wrapText="1"/>
    </xf>
    <xf borderId="0" fillId="6" fontId="9" numFmtId="0" xfId="0" applyAlignment="1" applyFont="1">
      <alignment horizontal="left" readingOrder="0" shrinkToFit="0" vertical="center" wrapText="0"/>
    </xf>
    <xf borderId="0" fillId="6" fontId="3" numFmtId="0" xfId="0" applyAlignment="1" applyFont="1">
      <alignment readingOrder="0"/>
    </xf>
    <xf borderId="0" fillId="6" fontId="10" numFmtId="0" xfId="0" applyAlignment="1" applyFont="1">
      <alignment shrinkToFit="0" vertical="bottom" wrapText="0"/>
    </xf>
    <xf borderId="0" fillId="6" fontId="3" numFmtId="0" xfId="0" applyAlignment="1" applyFont="1">
      <alignment horizontal="center"/>
    </xf>
    <xf borderId="0" fillId="6" fontId="2" numFmtId="0" xfId="0" applyAlignment="1" applyFont="1">
      <alignment vertical="bottom"/>
    </xf>
    <xf borderId="0" fillId="6" fontId="2" numFmtId="0" xfId="0" applyAlignment="1" applyFont="1">
      <alignment horizontal="right" vertical="bottom"/>
    </xf>
    <xf borderId="0" fillId="6" fontId="2" numFmtId="0" xfId="0" applyAlignment="1" applyFont="1">
      <alignment shrinkToFit="0" vertical="bottom" wrapText="1"/>
    </xf>
    <xf borderId="0" fillId="0" fontId="11" numFmtId="0" xfId="0" applyAlignment="1" applyFont="1">
      <alignment horizontal="left" readingOrder="0" shrinkToFit="0" vertical="center" wrapText="0"/>
    </xf>
    <xf borderId="0" fillId="0" fontId="12" numFmtId="0" xfId="0" applyAlignment="1" applyFont="1">
      <alignment horizontal="left" readingOrder="0" shrinkToFit="0" wrapText="0"/>
    </xf>
    <xf borderId="0" fillId="0" fontId="3" numFmtId="0" xfId="0" applyAlignment="1" applyFont="1">
      <alignment readingOrder="0" shrinkToFit="0" wrapText="1"/>
    </xf>
    <xf borderId="0" fillId="7" fontId="3" numFmtId="0" xfId="0" applyAlignment="1" applyFill="1" applyFont="1">
      <alignment horizontal="center" readingOrder="0" shrinkToFit="0" vertical="center" wrapText="1"/>
    </xf>
    <xf borderId="0" fillId="7" fontId="3" numFmtId="0" xfId="0" applyAlignment="1" applyFont="1">
      <alignment readingOrder="0"/>
    </xf>
    <xf borderId="0" fillId="7" fontId="13" numFmtId="0" xfId="0" applyAlignment="1" applyFont="1">
      <alignment readingOrder="0"/>
    </xf>
    <xf borderId="0" fillId="7" fontId="3" numFmtId="0" xfId="0" applyAlignment="1" applyFont="1">
      <alignment horizontal="center" readingOrder="0"/>
    </xf>
    <xf borderId="0" fillId="7" fontId="14" numFmtId="0" xfId="0" applyAlignment="1" applyFont="1">
      <alignment readingOrder="0"/>
    </xf>
    <xf borderId="0" fillId="7" fontId="15" numFmtId="0" xfId="0" applyAlignment="1" applyFont="1">
      <alignment readingOrder="0" shrinkToFit="0" wrapText="0"/>
    </xf>
    <xf borderId="0" fillId="7" fontId="3" numFmtId="0" xfId="0" applyAlignment="1" applyFont="1">
      <alignment horizontal="center" readingOrder="0" shrinkToFit="0" wrapText="0"/>
    </xf>
    <xf borderId="0" fillId="7" fontId="3" numFmtId="0" xfId="0" applyAlignment="1" applyFont="1">
      <alignment readingOrder="0" shrinkToFit="0" wrapText="1"/>
    </xf>
    <xf borderId="0" fillId="7" fontId="16" numFmtId="0" xfId="0" applyAlignment="1" applyFont="1">
      <alignment horizontal="left" readingOrder="0" shrinkToFit="0" wrapText="0"/>
    </xf>
    <xf borderId="0" fillId="0" fontId="17" numFmtId="0" xfId="0" applyAlignment="1" applyFont="1">
      <alignment horizontal="left" readingOrder="0" shrinkToFit="0" wrapText="0"/>
    </xf>
    <xf borderId="0" fillId="0" fontId="18" numFmtId="0" xfId="0" applyAlignment="1" applyFont="1">
      <alignment readingOrder="0"/>
    </xf>
    <xf borderId="0" fillId="0" fontId="19" numFmtId="0" xfId="0" applyAlignment="1" applyFont="1">
      <alignment readingOrder="0"/>
    </xf>
    <xf borderId="0" fillId="8" fontId="3" numFmtId="0" xfId="0" applyAlignment="1" applyFill="1" applyFont="1">
      <alignment horizontal="center" readingOrder="0" shrinkToFit="0" vertical="center" wrapText="1"/>
    </xf>
    <xf borderId="0" fillId="8" fontId="3" numFmtId="0" xfId="0" applyAlignment="1" applyFont="1">
      <alignment horizontal="center" readingOrder="0"/>
    </xf>
    <xf borderId="0" fillId="8" fontId="20" numFmtId="0" xfId="0" applyAlignment="1" applyFont="1">
      <alignment readingOrder="0" shrinkToFit="0" wrapText="0"/>
    </xf>
    <xf borderId="0" fillId="8" fontId="3" numFmtId="0" xfId="0" applyAlignment="1" applyFont="1">
      <alignment horizontal="center" readingOrder="0" shrinkToFit="0" wrapText="0"/>
    </xf>
    <xf borderId="0" fillId="8" fontId="3" numFmtId="0" xfId="0" applyAlignment="1" applyFont="1">
      <alignment readingOrder="0" shrinkToFit="0" wrapText="1"/>
    </xf>
    <xf borderId="0" fillId="8" fontId="21" numFmtId="0" xfId="0" applyAlignment="1" applyFont="1">
      <alignment horizontal="left" readingOrder="0" shrinkToFit="0" wrapText="0"/>
    </xf>
    <xf borderId="0" fillId="8" fontId="3" numFmtId="0" xfId="0" applyAlignment="1" applyFont="1">
      <alignment readingOrder="0"/>
    </xf>
    <xf borderId="0" fillId="8" fontId="3" numFmtId="0" xfId="0" applyFont="1"/>
    <xf borderId="0" fillId="9" fontId="3" numFmtId="0" xfId="0" applyAlignment="1" applyFill="1" applyFont="1">
      <alignment horizontal="center" readingOrder="0" shrinkToFit="0" wrapText="0"/>
    </xf>
    <xf borderId="0" fillId="9" fontId="3" numFmtId="0" xfId="0" applyAlignment="1" applyFont="1">
      <alignment readingOrder="0" shrinkToFit="0" wrapText="0"/>
    </xf>
    <xf borderId="0" fillId="9" fontId="3" numFmtId="0" xfId="0" applyAlignment="1" applyFont="1">
      <alignment horizontal="center" shrinkToFit="0" wrapText="0"/>
    </xf>
    <xf borderId="0" fillId="0" fontId="2" numFmtId="0" xfId="0" applyAlignment="1" applyFont="1">
      <alignment shrinkToFit="0" vertical="bottom" wrapText="0"/>
    </xf>
    <xf borderId="0" fillId="0" fontId="2" numFmtId="0" xfId="0" applyAlignment="1" applyFont="1">
      <alignment shrinkToFit="0" vertical="bottom" wrapText="0"/>
    </xf>
    <xf borderId="0" fillId="9" fontId="3" numFmtId="0" xfId="0" applyAlignment="1" applyFont="1">
      <alignment horizontal="center" shrinkToFit="0" wrapText="0"/>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readingOrder="0" shrinkToFit="0" wrapText="0"/>
    </xf>
    <xf borderId="0" fillId="0" fontId="2" numFmtId="164" xfId="0" applyAlignment="1" applyFont="1" applyNumberFormat="1">
      <alignment horizontal="right" vertical="bottom"/>
    </xf>
    <xf borderId="0" fillId="9" fontId="3" numFmtId="0" xfId="0" applyAlignment="1" applyFont="1">
      <alignment horizontal="center" readingOrder="0"/>
    </xf>
    <xf borderId="0" fillId="9" fontId="3" numFmtId="0" xfId="0" applyAlignment="1" applyFont="1">
      <alignment readingOrder="0"/>
    </xf>
    <xf borderId="0" fillId="9" fontId="3" numFmtId="0" xfId="0" applyAlignment="1" applyFont="1">
      <alignment horizontal="center"/>
    </xf>
    <xf borderId="0" fillId="9" fontId="3" numFmtId="0" xfId="0" applyAlignment="1" applyFont="1">
      <alignment horizontal="center"/>
    </xf>
    <xf borderId="0" fillId="0" fontId="2"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omaa.org/40-most-influential-artists-dominating-instagram/?srsltid=AfmBOorWxzY4cT1y0XLzQMC7r3YTRMWb-8a-w2PjonIF0STV4twtdQbl" TargetMode="External"/><Relationship Id="rId2" Type="http://schemas.openxmlformats.org/officeDocument/2006/relationships/hyperlink" Target="https://en.wikipedia.org/wiki/Periods_in_Western_art_history" TargetMode="External"/><Relationship Id="rId3" Type="http://schemas.openxmlformats.org/officeDocument/2006/relationships/hyperlink" Target="https://theartling.com/en/artzine/contemporary-art-styles/?srsltid=AfmBOopK3uAvZY1ntnAd7zEk2ASCby3cXlGIAHaz1pLV8d36Q4QFJ6w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nstagram.com/p/CzWZhRMPvrq/?igsh=MW5lOWlmN2ZsdmRqeA==" TargetMode="External"/><Relationship Id="rId42" Type="http://schemas.openxmlformats.org/officeDocument/2006/relationships/hyperlink" Target="https://www.instagram.com/p/DPZX0snCLqL/?igsh=MWt4cDI2OXN2OTF1bw==" TargetMode="External"/><Relationship Id="rId41" Type="http://schemas.openxmlformats.org/officeDocument/2006/relationships/hyperlink" Target="https://www.instagram.com/madhusingharts?igsh=MW1nMm1uOWF4bzI5" TargetMode="External"/><Relationship Id="rId44" Type="http://schemas.openxmlformats.org/officeDocument/2006/relationships/hyperlink" Target="https://www.instagram.com/p/C5-XuYytQJA/?igsh=MTZoN2o2dm56dzlidQ==" TargetMode="External"/><Relationship Id="rId43" Type="http://schemas.openxmlformats.org/officeDocument/2006/relationships/hyperlink" Target="https://www.instagram.com/annaiart22fantasy?igsh=emN5azA2ZjJkeHNp" TargetMode="External"/><Relationship Id="rId46" Type="http://schemas.openxmlformats.org/officeDocument/2006/relationships/hyperlink" Target="https://www.instagram.com/p/DVD1_XvCDTi/?igsh=cnBpMzlsc3ppNWZr" TargetMode="External"/><Relationship Id="rId45" Type="http://schemas.openxmlformats.org/officeDocument/2006/relationships/hyperlink" Target="https://www.instagram.com/johanna._.colo?igsh=MTFkdWFxdWl2dmt0cw==" TargetMode="External"/><Relationship Id="rId107" Type="http://schemas.openxmlformats.org/officeDocument/2006/relationships/hyperlink" Target="https://www.instagram.com/creativemobs/" TargetMode="External"/><Relationship Id="rId106" Type="http://schemas.openxmlformats.org/officeDocument/2006/relationships/hyperlink" Target="https://www.instagram.com/p/CqW9uyIsXFJ/" TargetMode="External"/><Relationship Id="rId105" Type="http://schemas.openxmlformats.org/officeDocument/2006/relationships/hyperlink" Target="https://www.instagram.com/catsarethelove_/" TargetMode="External"/><Relationship Id="rId104" Type="http://schemas.openxmlformats.org/officeDocument/2006/relationships/hyperlink" Target="https://www.instagram.com/p/DPl8zFJCG_-" TargetMode="External"/><Relationship Id="rId109" Type="http://schemas.openxmlformats.org/officeDocument/2006/relationships/hyperlink" Target="https://www.instagram.com/beraofficial/" TargetMode="External"/><Relationship Id="rId108" Type="http://schemas.openxmlformats.org/officeDocument/2006/relationships/hyperlink" Target="https://www.instagram.com/reels/CLR_n4pH0O5/" TargetMode="External"/><Relationship Id="rId48" Type="http://schemas.openxmlformats.org/officeDocument/2006/relationships/hyperlink" Target="https://www.instagram.com/p/DVOsQAMiOGY/?igsh=MXU3MmxieDY5bnRjbQ==" TargetMode="External"/><Relationship Id="rId47" Type="http://schemas.openxmlformats.org/officeDocument/2006/relationships/hyperlink" Target="https://www.instagram.com/deminiart?igsh=MTRrcnQ3MDNyNDV4Zw==" TargetMode="External"/><Relationship Id="rId49" Type="http://schemas.openxmlformats.org/officeDocument/2006/relationships/hyperlink" Target="https://www.instagram.com/raphaelle_iartiste?igsh=MWEwMXNqaGZzcGI5Mg==" TargetMode="External"/><Relationship Id="rId103" Type="http://schemas.openxmlformats.org/officeDocument/2006/relationships/hyperlink" Target="https://www.instagram.com/viktor.ia.art/" TargetMode="External"/><Relationship Id="rId102" Type="http://schemas.openxmlformats.org/officeDocument/2006/relationships/hyperlink" Target="https://www.instagram.com/reels/DRSGIcZEQRC/" TargetMode="External"/><Relationship Id="rId101" Type="http://schemas.openxmlformats.org/officeDocument/2006/relationships/hyperlink" Target="https://www.instagram.com/grizzl.vision" TargetMode="External"/><Relationship Id="rId100" Type="http://schemas.openxmlformats.org/officeDocument/2006/relationships/hyperlink" Target="https://www.instagram.com/p/DULiw0HjQcG/" TargetMode="External"/><Relationship Id="rId31" Type="http://schemas.openxmlformats.org/officeDocument/2006/relationships/hyperlink" Target="https://www.instagram.com/alvia.art/" TargetMode="External"/><Relationship Id="rId30" Type="http://schemas.openxmlformats.org/officeDocument/2006/relationships/hyperlink" Target="https://www.instagram.com/p/Co-OeX8tLU-/" TargetMode="External"/><Relationship Id="rId33" Type="http://schemas.openxmlformats.org/officeDocument/2006/relationships/hyperlink" Target="https://www.instagram.com/fermin.garcia.sevillaartist?igsh=MXE1ZnJuZ28xa2RhMg==" TargetMode="External"/><Relationship Id="rId32" Type="http://schemas.openxmlformats.org/officeDocument/2006/relationships/hyperlink" Target="https://www.instagram.com/p/Cy-If2RN884/?igsh=ZmY3Nm12MGI5Ym01" TargetMode="External"/><Relationship Id="rId35" Type="http://schemas.openxmlformats.org/officeDocument/2006/relationships/hyperlink" Target="https://www.instagram.com/edycardona_official?igsh=MXZmNDE3Njc2dG9jeQ==" TargetMode="External"/><Relationship Id="rId34" Type="http://schemas.openxmlformats.org/officeDocument/2006/relationships/hyperlink" Target="https://www.instagram.com/p/DS46sWajEKe/?img_index=6&amp;igsh=MTZzeHY2NHNvN3B2bg==" TargetMode="External"/><Relationship Id="rId37" Type="http://schemas.openxmlformats.org/officeDocument/2006/relationships/hyperlink" Target="https://www.instagram.com/artbyanastasiia?igsh=MTh2M3R4eGE1Z2RkOA==" TargetMode="External"/><Relationship Id="rId36" Type="http://schemas.openxmlformats.org/officeDocument/2006/relationships/hyperlink" Target="https://www.instagram.com/p/DTD6ISFD4Q-/?img_index=3&amp;igsh=MXVvMWxya2FndWs2bw==" TargetMode="External"/><Relationship Id="rId39" Type="http://schemas.openxmlformats.org/officeDocument/2006/relationships/hyperlink" Target="https://www.instagram.com/spchowdhuryphotography?igsh=OHRvZW9zaDQwZ20w" TargetMode="External"/><Relationship Id="rId38" Type="http://schemas.openxmlformats.org/officeDocument/2006/relationships/hyperlink" Target="https://www.instagram.com/p/DT5TuKfjWvD/?igsh=c3k4czdhMnZlaTg4" TargetMode="External"/><Relationship Id="rId20" Type="http://schemas.openxmlformats.org/officeDocument/2006/relationships/hyperlink" Target="https://www.instagram.com/p/DQcyILfj1Nx/" TargetMode="External"/><Relationship Id="rId22" Type="http://schemas.openxmlformats.org/officeDocument/2006/relationships/hyperlink" Target="https://www.instagram.com/p/DLi3y43shZY/" TargetMode="External"/><Relationship Id="rId21" Type="http://schemas.openxmlformats.org/officeDocument/2006/relationships/hyperlink" Target="https://www.instagram.com/theklimate/" TargetMode="External"/><Relationship Id="rId24" Type="http://schemas.openxmlformats.org/officeDocument/2006/relationships/hyperlink" Target="https://www.instagram.com/raphaelle_iartiste/" TargetMode="External"/><Relationship Id="rId23" Type="http://schemas.openxmlformats.org/officeDocument/2006/relationships/hyperlink" Target="https://www.instagram.com/p/DQhcx5VDMHT/" TargetMode="External"/><Relationship Id="rId129" Type="http://schemas.openxmlformats.org/officeDocument/2006/relationships/hyperlink" Target="https://www.instagram.com/marveldsign/" TargetMode="External"/><Relationship Id="rId128" Type="http://schemas.openxmlformats.org/officeDocument/2006/relationships/hyperlink" Target="https://www.instagram.com/p/DC40mMHy_a0/?utm_source=ig_web_copy_link&amp;igsh=MzRlODBiNWFlZA==" TargetMode="External"/><Relationship Id="rId127" Type="http://schemas.openxmlformats.org/officeDocument/2006/relationships/hyperlink" Target="https://www.instagram.com/thefantasycreatures/" TargetMode="External"/><Relationship Id="rId126" Type="http://schemas.openxmlformats.org/officeDocument/2006/relationships/hyperlink" Target="https://www.instagram.com/p/DR2OG7qEjMb/?utm_source=ig_web_copy_link&amp;igsh=MzRlODBiNWFlZA==" TargetMode="External"/><Relationship Id="rId26" Type="http://schemas.openxmlformats.org/officeDocument/2006/relationships/hyperlink" Target="https://www.instagram.com/sorcerix_art/" TargetMode="External"/><Relationship Id="rId121" Type="http://schemas.openxmlformats.org/officeDocument/2006/relationships/hyperlink" Target="https://www.instagram.com/portrait_abc/" TargetMode="External"/><Relationship Id="rId25" Type="http://schemas.openxmlformats.org/officeDocument/2006/relationships/hyperlink" Target="https://www.instagram.com/p/DOBuhjxCNNG/?img_index=1" TargetMode="External"/><Relationship Id="rId120" Type="http://schemas.openxmlformats.org/officeDocument/2006/relationships/hyperlink" Target="https://www.instagram.com/p/C_aGVOMymRL/?utm_source=ig_web_copy_link&amp;igsh=MzRlODBiNWFlZA==" TargetMode="External"/><Relationship Id="rId28" Type="http://schemas.openxmlformats.org/officeDocument/2006/relationships/hyperlink" Target="https://www.instagram.com/lenycherry_aiart/" TargetMode="External"/><Relationship Id="rId27" Type="http://schemas.openxmlformats.org/officeDocument/2006/relationships/hyperlink" Target="https://www.instagram.com/p/DVYkAyEDF9p/" TargetMode="External"/><Relationship Id="rId125" Type="http://schemas.openxmlformats.org/officeDocument/2006/relationships/hyperlink" Target="https://www.instagram.com/justralphy/" TargetMode="External"/><Relationship Id="rId29" Type="http://schemas.openxmlformats.org/officeDocument/2006/relationships/hyperlink" Target="https://www.instagram.com/p/DTr79-Yk6a4/?img_index=1" TargetMode="External"/><Relationship Id="rId124" Type="http://schemas.openxmlformats.org/officeDocument/2006/relationships/hyperlink" Target="https://www.instagram.com/p/DL41F9qgFZX/?utm_source=ig_web_copy_link&amp;igsh=MzRlODBiNWFlZA==" TargetMode="External"/><Relationship Id="rId123" Type="http://schemas.openxmlformats.org/officeDocument/2006/relationships/hyperlink" Target="https://www.instagram.com/gabriellai_art/" TargetMode="External"/><Relationship Id="rId122" Type="http://schemas.openxmlformats.org/officeDocument/2006/relationships/hyperlink" Target="https://www.instagram.com/p/DTv9sJGjD7-/?utm_source=ig_web_copy_link&amp;igsh=MzRlODBiNWFlZA==" TargetMode="External"/><Relationship Id="rId95" Type="http://schemas.openxmlformats.org/officeDocument/2006/relationships/hyperlink" Target="https://www.instagram.com/codex_401" TargetMode="External"/><Relationship Id="rId94" Type="http://schemas.openxmlformats.org/officeDocument/2006/relationships/hyperlink" Target="https://www.instagram.com/reels/C3oeAHmu5gB/" TargetMode="External"/><Relationship Id="rId97" Type="http://schemas.openxmlformats.org/officeDocument/2006/relationships/hyperlink" Target="https://www.instagram.com/irina_vylezhnina_/reels/" TargetMode="External"/><Relationship Id="rId96" Type="http://schemas.openxmlformats.org/officeDocument/2006/relationships/hyperlink" Target="https://www.instagram.com/reels/DCo8_2DRKy_/" TargetMode="External"/><Relationship Id="rId11" Type="http://schemas.openxmlformats.org/officeDocument/2006/relationships/hyperlink" Target="https://www.instagram.com/p/DMyBan2tx-f" TargetMode="External"/><Relationship Id="rId99" Type="http://schemas.openxmlformats.org/officeDocument/2006/relationships/hyperlink" Target="https://www.instagram.com/farzan.soufi" TargetMode="External"/><Relationship Id="rId10" Type="http://schemas.openxmlformats.org/officeDocument/2006/relationships/hyperlink" Target="https://www.instagram.com/p/DU1U8PajE9B/?img_index=1" TargetMode="External"/><Relationship Id="rId98" Type="http://schemas.openxmlformats.org/officeDocument/2006/relationships/hyperlink" Target="https://www.instagram.com/reels/DOtnkYcCt1X/" TargetMode="External"/><Relationship Id="rId13" Type="http://schemas.openxmlformats.org/officeDocument/2006/relationships/hyperlink" Target="https://www.instagram.com/p/DQYB2QXEidj/" TargetMode="External"/><Relationship Id="rId12" Type="http://schemas.openxmlformats.org/officeDocument/2006/relationships/hyperlink" Target="https://www.instagram.com/shellys_arts/" TargetMode="External"/><Relationship Id="rId91" Type="http://schemas.openxmlformats.org/officeDocument/2006/relationships/hyperlink" Target="https://www.instagram.com/astra.ex.machina/" TargetMode="External"/><Relationship Id="rId90" Type="http://schemas.openxmlformats.org/officeDocument/2006/relationships/hyperlink" Target="https://www.instagram.com/reels/CikP68Ej7du/" TargetMode="External"/><Relationship Id="rId93" Type="http://schemas.openxmlformats.org/officeDocument/2006/relationships/hyperlink" Target="https://www.instagram.com/nyclovesnyc/" TargetMode="External"/><Relationship Id="rId92" Type="http://schemas.openxmlformats.org/officeDocument/2006/relationships/hyperlink" Target="https://www.instagram.com/reels/Cn0U3pipNXd/" TargetMode="External"/><Relationship Id="rId118" Type="http://schemas.openxmlformats.org/officeDocument/2006/relationships/hyperlink" Target="https://www.instagram.com/p/DUlMAD2lRix/?utm_source=ig_web_copy_link&amp;igsh=MzRlODBiNWFlZA==" TargetMode="External"/><Relationship Id="rId117" Type="http://schemas.openxmlformats.org/officeDocument/2006/relationships/hyperlink" Target="https://www.instagram.com/lk_inks/" TargetMode="External"/><Relationship Id="rId116" Type="http://schemas.openxmlformats.org/officeDocument/2006/relationships/hyperlink" Target="https://www.instagram.com/p/DSQphyuDFC1/?utm_source=ig_web_copy_link&amp;igsh=MzRlODBiNWFlZA==" TargetMode="External"/><Relationship Id="rId115" Type="http://schemas.openxmlformats.org/officeDocument/2006/relationships/hyperlink" Target="https://www.instagram.com/aralia.art/" TargetMode="External"/><Relationship Id="rId119" Type="http://schemas.openxmlformats.org/officeDocument/2006/relationships/hyperlink" Target="https://www.instagram.com/aralia.art/" TargetMode="External"/><Relationship Id="rId15" Type="http://schemas.openxmlformats.org/officeDocument/2006/relationships/hyperlink" Target="https://www.instagram.com/dreamfall.art/" TargetMode="External"/><Relationship Id="rId110" Type="http://schemas.openxmlformats.org/officeDocument/2006/relationships/hyperlink" Target="https://www.instagram.com/reels/DTCBCWEEWGC/" TargetMode="External"/><Relationship Id="rId14" Type="http://schemas.openxmlformats.org/officeDocument/2006/relationships/hyperlink" Target="https://www.instagram.com/p/DHOa6Ajt1dq/" TargetMode="External"/><Relationship Id="rId17" Type="http://schemas.openxmlformats.org/officeDocument/2006/relationships/hyperlink" Target="https://www.instagram.com/p/C0sQkLEPkyC" TargetMode="External"/><Relationship Id="rId16" Type="http://schemas.openxmlformats.org/officeDocument/2006/relationships/hyperlink" Target="https://www.instagram.com/p/DKcV3N1TsQm/?img_index=1" TargetMode="External"/><Relationship Id="rId19" Type="http://schemas.openxmlformats.org/officeDocument/2006/relationships/hyperlink" Target="https://www.instagram.com/p/DVYOc42DJK9/?img_index=1" TargetMode="External"/><Relationship Id="rId114" Type="http://schemas.openxmlformats.org/officeDocument/2006/relationships/hyperlink" Target="https://www.instagram.com/p/DT2lgb4k5Qe/?utm_source=ig_web_copy_link&amp;igsh=MzRlODBiNWFlZA==" TargetMode="External"/><Relationship Id="rId18" Type="http://schemas.openxmlformats.org/officeDocument/2006/relationships/hyperlink" Target="https://www.instagram.com/gom.tollum/" TargetMode="External"/><Relationship Id="rId113" Type="http://schemas.openxmlformats.org/officeDocument/2006/relationships/hyperlink" Target="https://www.instagram.com/art_by_grusdar/" TargetMode="External"/><Relationship Id="rId112" Type="http://schemas.openxmlformats.org/officeDocument/2006/relationships/hyperlink" Target="https://www.instagram.com/p/DMKbF9jiE18/?utm_source=ig_web_copy_link&amp;igsh=MzRlODBiNWFlZA==" TargetMode="External"/><Relationship Id="rId111" Type="http://schemas.openxmlformats.org/officeDocument/2006/relationships/hyperlink" Target="https://www.instagram.com/yas_ai_creations" TargetMode="External"/><Relationship Id="rId84" Type="http://schemas.openxmlformats.org/officeDocument/2006/relationships/hyperlink" Target="https://www.instagram.com/reels/DUf6bsWAXBE/" TargetMode="External"/><Relationship Id="rId83" Type="http://schemas.openxmlformats.org/officeDocument/2006/relationships/hyperlink" Target="https://www.instagram.com/analogmirage/reels/" TargetMode="External"/><Relationship Id="rId86" Type="http://schemas.openxmlformats.org/officeDocument/2006/relationships/hyperlink" Target="http://instagram.com/reels/DEglt6Xy4zZ/" TargetMode="External"/><Relationship Id="rId85" Type="http://schemas.openxmlformats.org/officeDocument/2006/relationships/hyperlink" Target="https://www.instagram.com/peanut.chu.adventures/reels/" TargetMode="External"/><Relationship Id="rId88" Type="http://schemas.openxmlformats.org/officeDocument/2006/relationships/hyperlink" Target="https://www.instagram.com/reels/DU4prPtDcDC/" TargetMode="External"/><Relationship Id="rId150" Type="http://schemas.openxmlformats.org/officeDocument/2006/relationships/hyperlink" Target="https://www.instagram.com/p/DSlL18bDEhJ/?utm_source=ig_web_copy_link&amp;igsh=MzRlODBiNWFlZA==" TargetMode="External"/><Relationship Id="rId87" Type="http://schemas.openxmlformats.org/officeDocument/2006/relationships/hyperlink" Target="https://www.instagram.com/digitalartsensei/" TargetMode="External"/><Relationship Id="rId89" Type="http://schemas.openxmlformats.org/officeDocument/2006/relationships/hyperlink" Target="https://www.instagram.com/coolacloy" TargetMode="External"/><Relationship Id="rId80" Type="http://schemas.openxmlformats.org/officeDocument/2006/relationships/hyperlink" Target="https://www.instagram.com/reels/DMdI1V1x-FB/" TargetMode="External"/><Relationship Id="rId82" Type="http://schemas.openxmlformats.org/officeDocument/2006/relationships/hyperlink" Target="https://www.instagram.com/reels/DLSxcoJNlxg/" TargetMode="External"/><Relationship Id="rId81" Type="http://schemas.openxmlformats.org/officeDocument/2006/relationships/hyperlink" Target="https://www.instagram.com/lofipassion/" TargetMode="External"/><Relationship Id="rId1" Type="http://schemas.openxmlformats.org/officeDocument/2006/relationships/hyperlink" Target="https://www.instagram.com/p/DDhx9Znow-I/" TargetMode="External"/><Relationship Id="rId2" Type="http://schemas.openxmlformats.org/officeDocument/2006/relationships/hyperlink" Target="https://www.instagram.com/p/C-44eycs1H5/" TargetMode="External"/><Relationship Id="rId3" Type="http://schemas.openxmlformats.org/officeDocument/2006/relationships/hyperlink" Target="https://www.instagram.com/prernaverse_/" TargetMode="External"/><Relationship Id="rId149" Type="http://schemas.openxmlformats.org/officeDocument/2006/relationships/hyperlink" Target="https://www.instagram.com/cedric_thouvenel/?g=5" TargetMode="External"/><Relationship Id="rId4" Type="http://schemas.openxmlformats.org/officeDocument/2006/relationships/hyperlink" Target="https://www.instagram.com/p/Cyv2nzcR0ic/" TargetMode="External"/><Relationship Id="rId148" Type="http://schemas.openxmlformats.org/officeDocument/2006/relationships/hyperlink" Target="https://www.instagram.com/p/DPor_WlDO4I/" TargetMode="External"/><Relationship Id="rId9" Type="http://schemas.openxmlformats.org/officeDocument/2006/relationships/hyperlink" Target="https://www.instagram.com/scatterbrainshowcase/" TargetMode="External"/><Relationship Id="rId143" Type="http://schemas.openxmlformats.org/officeDocument/2006/relationships/hyperlink" Target="https://www.instagram.com/unlimited_dreams_of_ai/" TargetMode="External"/><Relationship Id="rId142" Type="http://schemas.openxmlformats.org/officeDocument/2006/relationships/hyperlink" Target="https://www.instagram.com/p/DQGSvs-DDyl/?utm_source=ig_web_copy_link&amp;igsh=MzRlODBiNWFlZA==" TargetMode="External"/><Relationship Id="rId141" Type="http://schemas.openxmlformats.org/officeDocument/2006/relationships/hyperlink" Target="https://www.instagram.com/surrealistly/" TargetMode="External"/><Relationship Id="rId140" Type="http://schemas.openxmlformats.org/officeDocument/2006/relationships/hyperlink" Target="https://www.instagram.com/p/DKpBG-Ju0U7/?utm_source=ig_web_copy_link&amp;igsh=NTc4MTIwNjQ2YQ==" TargetMode="External"/><Relationship Id="rId5" Type="http://schemas.openxmlformats.org/officeDocument/2006/relationships/hyperlink" Target="https://www.instagram.com/p/DVMb9kqElDz/" TargetMode="External"/><Relationship Id="rId147" Type="http://schemas.openxmlformats.org/officeDocument/2006/relationships/hyperlink" Target="https://www.instagram.com/robertaidol/" TargetMode="External"/><Relationship Id="rId6" Type="http://schemas.openxmlformats.org/officeDocument/2006/relationships/hyperlink" Target="https://www.instagram.com/cosmiclensai/" TargetMode="External"/><Relationship Id="rId146" Type="http://schemas.openxmlformats.org/officeDocument/2006/relationships/hyperlink" Target="https://www.instagram.com/p/DSad9F2jfva/?utm_source=ig_web_copy_link&amp;igsh=NTc4MTIwNjQ2YQ==" TargetMode="External"/><Relationship Id="rId7" Type="http://schemas.openxmlformats.org/officeDocument/2006/relationships/hyperlink" Target="https://www.instagram.com/p/DTIwN17jeaP/?img_index=1" TargetMode="External"/><Relationship Id="rId145" Type="http://schemas.openxmlformats.org/officeDocument/2006/relationships/hyperlink" Target="https://www.instagram.com/nr_sho13/" TargetMode="External"/><Relationship Id="rId8" Type="http://schemas.openxmlformats.org/officeDocument/2006/relationships/hyperlink" Target="https://www.instagram.com/p/DNSWhv1uGjZ/" TargetMode="External"/><Relationship Id="rId144" Type="http://schemas.openxmlformats.org/officeDocument/2006/relationships/hyperlink" Target="https://www.instagram.com/p/CognJlkJbtU/?utm_source=ig_web_copy_link&amp;igsh=NTc4MTIwNjQ2YQ==" TargetMode="External"/><Relationship Id="rId73" Type="http://schemas.openxmlformats.org/officeDocument/2006/relationships/hyperlink" Target="https://www.instagram.com/kendalljenner/" TargetMode="External"/><Relationship Id="rId72" Type="http://schemas.openxmlformats.org/officeDocument/2006/relationships/hyperlink" Target="https://www.instagram.com/p/DS2rkiZDz2c/" TargetMode="External"/><Relationship Id="rId75" Type="http://schemas.openxmlformats.org/officeDocument/2006/relationships/hyperlink" Target="https://www.instagram.com/gabriellai_art/" TargetMode="External"/><Relationship Id="rId74" Type="http://schemas.openxmlformats.org/officeDocument/2006/relationships/hyperlink" Target="https://www.instagram.com/p/DSlL18bDEhJ/" TargetMode="External"/><Relationship Id="rId77" Type="http://schemas.openxmlformats.org/officeDocument/2006/relationships/hyperlink" Target="https://www.instagram.com/raylivez" TargetMode="External"/><Relationship Id="rId76" Type="http://schemas.openxmlformats.org/officeDocument/2006/relationships/hyperlink" Target="https://www.instagram.com/reels/DUyPt9VjsQ5/" TargetMode="External"/><Relationship Id="rId79" Type="http://schemas.openxmlformats.org/officeDocument/2006/relationships/hyperlink" Target="https://www.instagram.com/ssulsin.t/" TargetMode="External"/><Relationship Id="rId78" Type="http://schemas.openxmlformats.org/officeDocument/2006/relationships/hyperlink" Target="https://www.instagram.com/reels/DRhZaJnASMQ/" TargetMode="External"/><Relationship Id="rId71" Type="http://schemas.openxmlformats.org/officeDocument/2006/relationships/hyperlink" Target="https://www.instagram.com/johfaanny?igsh=bWkwaDJscXY0dWQw" TargetMode="External"/><Relationship Id="rId70" Type="http://schemas.openxmlformats.org/officeDocument/2006/relationships/hyperlink" Target="https://www.instagram.com/p/DScKTvjDD6e/?igsh=MW1yOXh0NXpxeHFkZA==" TargetMode="External"/><Relationship Id="rId139" Type="http://schemas.openxmlformats.org/officeDocument/2006/relationships/hyperlink" Target="https://www.instagram.com/iamai_art/" TargetMode="External"/><Relationship Id="rId138" Type="http://schemas.openxmlformats.org/officeDocument/2006/relationships/hyperlink" Target="https://www.instagram.com/p/DMV_EO1N3qS/?utm_source=ig_web_copy_link&amp;igsh=MzRlODBiNWFlZA==" TargetMode="External"/><Relationship Id="rId137" Type="http://schemas.openxmlformats.org/officeDocument/2006/relationships/hyperlink" Target="https://www.instagram.com/grace_green_space/" TargetMode="External"/><Relationship Id="rId132" Type="http://schemas.openxmlformats.org/officeDocument/2006/relationships/hyperlink" Target="https://www.instagram.com/p/DSqevPEkjKs/?utm_source=ig_web_copy_link&amp;igsh=MzRlODBiNWFlZA==" TargetMode="External"/><Relationship Id="rId131" Type="http://schemas.openxmlformats.org/officeDocument/2006/relationships/hyperlink" Target="https://www.instagram.com/thefantasycreatures/" TargetMode="External"/><Relationship Id="rId130" Type="http://schemas.openxmlformats.org/officeDocument/2006/relationships/hyperlink" Target="https://www.instagram.com/p/DSLEWPjkgrL/?utm_source=ig_web_copy_link&amp;igsh=MzRlODBiNWFlZA==" TargetMode="External"/><Relationship Id="rId136" Type="http://schemas.openxmlformats.org/officeDocument/2006/relationships/hyperlink" Target="https://www.instagram.com/p/DUEPtomjEPe/?utm_source=ig_web_copy_link&amp;igsh=MzRlODBiNWFlZA==" TargetMode="External"/><Relationship Id="rId135" Type="http://schemas.openxmlformats.org/officeDocument/2006/relationships/hyperlink" Target="https://www.instagram.com/fantasy_ai_author/" TargetMode="External"/><Relationship Id="rId134" Type="http://schemas.openxmlformats.org/officeDocument/2006/relationships/hyperlink" Target="https://www.instagram.com/p/DR2Y8p9giTt/?utm_source=ig_web_copy_link&amp;igsh=MzRlODBiNWFlZA==" TargetMode="External"/><Relationship Id="rId133" Type="http://schemas.openxmlformats.org/officeDocument/2006/relationships/hyperlink" Target="https://www.instagram.com/senpaicrusade/" TargetMode="External"/><Relationship Id="rId62" Type="http://schemas.openxmlformats.org/officeDocument/2006/relationships/hyperlink" Target="https://www.instagram.com/p/DRPrkoRDOoZ/?igsh=MXRwdzFqcmt0cjM0Zw==" TargetMode="External"/><Relationship Id="rId61" Type="http://schemas.openxmlformats.org/officeDocument/2006/relationships/hyperlink" Target="https://www.instagram.com/noopsdsart?igsh=MTc5dW9xOW0zNWE5Mw==" TargetMode="External"/><Relationship Id="rId64" Type="http://schemas.openxmlformats.org/officeDocument/2006/relationships/hyperlink" Target="https://www.instagram.com/p/DUSV9KtAh7_/?igsh=dnpnYW95Z3ZwY255" TargetMode="External"/><Relationship Id="rId63" Type="http://schemas.openxmlformats.org/officeDocument/2006/relationships/hyperlink" Target="https://www.instagram.com/wolff_aii?igsh=MW1oaXRjNW1qZmt5dQ==" TargetMode="External"/><Relationship Id="rId66" Type="http://schemas.openxmlformats.org/officeDocument/2006/relationships/hyperlink" Target="https://www.instagram.com/p/DQjRfrPkmrF/?igsh=OWtidDl2MjFhdmo0" TargetMode="External"/><Relationship Id="rId65" Type="http://schemas.openxmlformats.org/officeDocument/2006/relationships/hyperlink" Target="https://www.instagram.com/taigavisuals?igsh=MWZ1czRtaGZldTU5OA==" TargetMode="External"/><Relationship Id="rId68" Type="http://schemas.openxmlformats.org/officeDocument/2006/relationships/hyperlink" Target="https://www.instagram.com/p/DQ7CQx0gr5i/?igsh=MW82b2Zvc3c1eHY5Zg==" TargetMode="External"/><Relationship Id="rId67" Type="http://schemas.openxmlformats.org/officeDocument/2006/relationships/hyperlink" Target="https://www.instagram.com/echoes.of.emotion.store?igsh=MzNpYjhzc3VibGts" TargetMode="External"/><Relationship Id="rId60" Type="http://schemas.openxmlformats.org/officeDocument/2006/relationships/hyperlink" Target="https://www.instagram.com/p/DSIYSSbDNd_/?igsh=MTZnNHoycDBwdGt5" TargetMode="External"/><Relationship Id="rId69" Type="http://schemas.openxmlformats.org/officeDocument/2006/relationships/hyperlink" Target="https://www.instagram.com/silviafreiportraits?igsh=djR3bXRnbzFwcG1x" TargetMode="External"/><Relationship Id="rId51" Type="http://schemas.openxmlformats.org/officeDocument/2006/relationships/hyperlink" Target="https://www.instagram.com/pixiewonderland.ai?igsh=MTlxbzFkNzFrbWgzbA==" TargetMode="External"/><Relationship Id="rId50" Type="http://schemas.openxmlformats.org/officeDocument/2006/relationships/hyperlink" Target="https://www.instagram.com/p/DLGLX5bIe9Q/?igsh=MTQ4NGZ6Y2YyczlmMg==" TargetMode="External"/><Relationship Id="rId53" Type="http://schemas.openxmlformats.org/officeDocument/2006/relationships/hyperlink" Target="https://www.instagram.com/pauliendgraaff?igsh=b283b2RubGdjcW1y" TargetMode="External"/><Relationship Id="rId52" Type="http://schemas.openxmlformats.org/officeDocument/2006/relationships/hyperlink" Target="https://www.instagram.com/p/DU3SuY6CELe/?igsh=dHNxcWxyYWRqNXY5" TargetMode="External"/><Relationship Id="rId55" Type="http://schemas.openxmlformats.org/officeDocument/2006/relationships/hyperlink" Target="https://www.instagram.com/lovelycharlize8?igsh=czVpOHQyOGZidWxr" TargetMode="External"/><Relationship Id="rId54" Type="http://schemas.openxmlformats.org/officeDocument/2006/relationships/hyperlink" Target="https://www.instagram.com/p/DU2oB0uCOGt/?igsh=bzFwZDV1MHZibjJ2" TargetMode="External"/><Relationship Id="rId57" Type="http://schemas.openxmlformats.org/officeDocument/2006/relationships/hyperlink" Target="https://www.instagram.com/lionas.art?igsh=MXRwaTEzbmdkdW5iOA==" TargetMode="External"/><Relationship Id="rId56" Type="http://schemas.openxmlformats.org/officeDocument/2006/relationships/hyperlink" Target="https://www.instagram.com/p/DRJ6WbgDHPj/?igsh=MXRqbjlqdGJkd2xueg==" TargetMode="External"/><Relationship Id="rId59" Type="http://schemas.openxmlformats.org/officeDocument/2006/relationships/hyperlink" Target="https://www.instagram.com/lovelycharlize8?igsh=czVpOHQyOGZidWxr" TargetMode="External"/><Relationship Id="rId58" Type="http://schemas.openxmlformats.org/officeDocument/2006/relationships/hyperlink" Target="https://www.instagram.com/p/DKYASe8Ivyo/?igsh=d2RhdWlwNWhlaHpu" TargetMode="External"/><Relationship Id="rId152" Type="http://schemas.openxmlformats.org/officeDocument/2006/relationships/drawing" Target="../drawings/drawing2.xml"/><Relationship Id="rId151" Type="http://schemas.openxmlformats.org/officeDocument/2006/relationships/hyperlink" Target="https://www.instagram.com/unlimited_dreams_of_a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4.63"/>
  </cols>
  <sheetData>
    <row r="1">
      <c r="A1" s="1" t="s">
        <v>0</v>
      </c>
      <c r="B1" s="2"/>
      <c r="C1" s="2"/>
      <c r="D1" s="2"/>
    </row>
    <row r="2">
      <c r="A2" s="1" t="s">
        <v>1</v>
      </c>
      <c r="B2" s="2"/>
      <c r="C2" s="2"/>
      <c r="D2" s="2"/>
    </row>
    <row r="3">
      <c r="A3" s="1" t="s">
        <v>2</v>
      </c>
      <c r="B3" s="2"/>
      <c r="C3" s="2"/>
      <c r="D3" s="2"/>
    </row>
    <row r="4">
      <c r="A4" s="2"/>
      <c r="B4" s="2"/>
      <c r="C4" s="2"/>
      <c r="D4" s="2"/>
    </row>
    <row r="5">
      <c r="A5" s="3" t="s">
        <v>3</v>
      </c>
      <c r="B5" s="3"/>
      <c r="C5" s="3"/>
      <c r="D5" s="4" t="s">
        <v>4</v>
      </c>
    </row>
    <row r="6">
      <c r="A6" s="2" t="s">
        <v>5</v>
      </c>
      <c r="B6" s="2"/>
      <c r="C6" s="2"/>
      <c r="D6" s="5" t="s">
        <v>6</v>
      </c>
    </row>
    <row r="7">
      <c r="A7" s="2" t="s">
        <v>7</v>
      </c>
      <c r="B7" s="2"/>
      <c r="C7" s="2"/>
      <c r="D7" s="6" t="s">
        <v>8</v>
      </c>
    </row>
    <row r="8">
      <c r="A8" s="2" t="s">
        <v>9</v>
      </c>
      <c r="B8" s="2"/>
      <c r="C8" s="2"/>
      <c r="D8" s="5" t="s">
        <v>10</v>
      </c>
    </row>
    <row r="9">
      <c r="A9" s="2" t="s">
        <v>11</v>
      </c>
      <c r="B9" s="2"/>
      <c r="C9" s="2"/>
      <c r="D9" s="5" t="s">
        <v>12</v>
      </c>
    </row>
    <row r="10">
      <c r="A10" s="2"/>
      <c r="B10" s="2"/>
      <c r="C10" s="2"/>
      <c r="D10" s="2"/>
    </row>
  </sheetData>
  <hyperlinks>
    <hyperlink r:id="rId1" ref="A1"/>
    <hyperlink r:id="rId2" location="Renaissance_to_Neoclassicism" ref="A2"/>
    <hyperlink r:id="rId3" ref="A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8"/>
    <col customWidth="1" min="2" max="2" width="12.63"/>
    <col customWidth="1" min="3" max="3" width="13.75"/>
    <col customWidth="1" min="4" max="4" width="13.38"/>
    <col customWidth="1" min="5" max="5" width="63.75"/>
    <col customWidth="1" min="6" max="6" width="21.63"/>
    <col customWidth="1" min="7" max="7" width="13.63"/>
    <col customWidth="1" min="9" max="9" width="11.25"/>
    <col customWidth="1" min="10" max="10" width="23.0"/>
    <col customWidth="1" min="11" max="12" width="18.0"/>
    <col customWidth="1" min="13" max="13" width="12.38"/>
    <col customWidth="1" min="14" max="14" width="16.5"/>
    <col customWidth="1" min="15" max="15" width="13.38"/>
    <col customWidth="1" min="16" max="16" width="49.63"/>
    <col customWidth="1" min="17" max="17" width="22.63"/>
    <col customWidth="1" min="18" max="18" width="9.5"/>
    <col customWidth="1" min="19" max="19" width="9.75"/>
    <col customWidth="1" min="21" max="21" width="19.13"/>
    <col customWidth="1" min="22" max="22" width="17.13"/>
    <col customWidth="1" min="23" max="23" width="15.75"/>
    <col customWidth="1" min="24" max="24" width="17.88"/>
  </cols>
  <sheetData>
    <row r="1">
      <c r="A1" s="7"/>
      <c r="B1" s="8" t="s">
        <v>13</v>
      </c>
      <c r="C1" s="9" t="s">
        <v>14</v>
      </c>
      <c r="D1" s="9" t="s">
        <v>15</v>
      </c>
      <c r="E1" s="10" t="s">
        <v>16</v>
      </c>
      <c r="F1" s="9" t="s">
        <v>17</v>
      </c>
      <c r="G1" s="8" t="s">
        <v>18</v>
      </c>
      <c r="H1" s="8" t="s">
        <v>19</v>
      </c>
      <c r="I1" s="11" t="s">
        <v>20</v>
      </c>
      <c r="J1" s="11" t="s">
        <v>21</v>
      </c>
      <c r="K1" s="11" t="s">
        <v>22</v>
      </c>
      <c r="L1" s="11" t="s">
        <v>23</v>
      </c>
      <c r="M1" s="12" t="s">
        <v>24</v>
      </c>
      <c r="N1" s="13" t="s">
        <v>25</v>
      </c>
      <c r="O1" s="13" t="s">
        <v>26</v>
      </c>
      <c r="P1" s="12" t="s">
        <v>27</v>
      </c>
      <c r="Q1" s="13" t="s">
        <v>28</v>
      </c>
      <c r="R1" s="12" t="s">
        <v>29</v>
      </c>
      <c r="S1" s="12" t="s">
        <v>30</v>
      </c>
      <c r="T1" s="11" t="s">
        <v>31</v>
      </c>
      <c r="U1" s="11" t="s">
        <v>32</v>
      </c>
      <c r="V1" s="11" t="s">
        <v>33</v>
      </c>
      <c r="W1" s="11" t="s">
        <v>34</v>
      </c>
      <c r="X1" s="14" t="s">
        <v>35</v>
      </c>
    </row>
    <row r="2">
      <c r="A2" s="15">
        <v>1.0</v>
      </c>
      <c r="B2" s="16" t="s">
        <v>36</v>
      </c>
      <c r="C2" s="17" t="s">
        <v>37</v>
      </c>
      <c r="D2" s="18" t="s">
        <v>38</v>
      </c>
      <c r="E2" s="19" t="s">
        <v>39</v>
      </c>
      <c r="F2" s="20"/>
      <c r="G2" s="21">
        <v>87700.0</v>
      </c>
      <c r="H2" s="21">
        <v>895.0</v>
      </c>
      <c r="I2" s="21">
        <v>40100.0</v>
      </c>
      <c r="J2" s="21">
        <v>779.0</v>
      </c>
      <c r="K2" s="21">
        <v>14.0</v>
      </c>
      <c r="L2" s="21">
        <v>835.0</v>
      </c>
      <c r="M2" s="16" t="str">
        <f>IFERROR(__xludf.DUMMYFUNCTION("IFERROR(REGEXEXTRACT(N2,""instagram\.com/p/([^/]+)""),"""")"),"C-44eycs1H5")</f>
        <v>C-44eycs1H5</v>
      </c>
      <c r="N2" s="17" t="s">
        <v>40</v>
      </c>
      <c r="O2" s="18" t="s">
        <v>38</v>
      </c>
      <c r="P2" s="21" t="s">
        <v>41</v>
      </c>
      <c r="Q2" s="17" t="s">
        <v>42</v>
      </c>
      <c r="R2" s="21">
        <v>244000.0</v>
      </c>
      <c r="S2" s="21">
        <v>706.0</v>
      </c>
      <c r="T2" s="21">
        <v>208000.0</v>
      </c>
      <c r="U2" s="21">
        <v>323.0</v>
      </c>
      <c r="V2" s="21">
        <v>14.0</v>
      </c>
      <c r="W2" s="21">
        <v>0.0</v>
      </c>
      <c r="X2" s="19" t="s">
        <v>43</v>
      </c>
    </row>
    <row r="3">
      <c r="A3" s="22">
        <v>2.0</v>
      </c>
      <c r="B3" s="7" t="s">
        <v>44</v>
      </c>
      <c r="C3" s="23" t="s">
        <v>45</v>
      </c>
      <c r="D3" s="24" t="s">
        <v>38</v>
      </c>
      <c r="E3" s="25" t="s">
        <v>46</v>
      </c>
      <c r="F3" s="26"/>
      <c r="G3" s="27">
        <v>903000.0</v>
      </c>
      <c r="H3" s="27">
        <v>1156.0</v>
      </c>
      <c r="I3" s="27">
        <v>111000.0</v>
      </c>
      <c r="J3" s="27">
        <v>274.0</v>
      </c>
      <c r="K3" s="27">
        <v>52.0</v>
      </c>
      <c r="L3" s="27">
        <v>623.0</v>
      </c>
      <c r="M3" s="7" t="str">
        <f>IFERROR(__xludf.DUMMYFUNCTION("IFERROR(REGEXEXTRACT(N3,""instagram\.com/p/([^/]+)""),"""")"),"DVMb9kqElDz")</f>
        <v>DVMb9kqElDz</v>
      </c>
      <c r="N3" s="23" t="s">
        <v>47</v>
      </c>
      <c r="O3" s="24" t="s">
        <v>38</v>
      </c>
      <c r="P3" s="27" t="s">
        <v>48</v>
      </c>
      <c r="Q3" s="23" t="s">
        <v>49</v>
      </c>
      <c r="R3" s="27">
        <v>14600.0</v>
      </c>
      <c r="S3" s="27">
        <v>783.0</v>
      </c>
      <c r="T3" s="27">
        <v>30400.0</v>
      </c>
      <c r="U3" s="27">
        <v>248.0</v>
      </c>
      <c r="V3" s="27">
        <v>1786.0</v>
      </c>
      <c r="W3" s="27">
        <v>0.0</v>
      </c>
      <c r="X3" s="25" t="s">
        <v>50</v>
      </c>
    </row>
    <row r="4">
      <c r="A4" s="22">
        <v>3.0</v>
      </c>
      <c r="B4" s="7" t="s">
        <v>51</v>
      </c>
      <c r="C4" s="23" t="s">
        <v>52</v>
      </c>
      <c r="D4" s="24" t="s">
        <v>38</v>
      </c>
      <c r="E4" s="28"/>
      <c r="F4" s="26"/>
      <c r="G4" s="27">
        <v>111000.0</v>
      </c>
      <c r="H4" s="27">
        <v>187.0</v>
      </c>
      <c r="I4" s="27">
        <v>4076.0</v>
      </c>
      <c r="J4" s="27">
        <v>143.0</v>
      </c>
      <c r="K4" s="27">
        <v>69.0</v>
      </c>
      <c r="L4" s="27">
        <v>214.0</v>
      </c>
      <c r="M4" s="7" t="str">
        <f>IFERROR(__xludf.DUMMYFUNCTION("IFERROR(REGEXEXTRACT(N4,""instagram\.com/p/([^/]+)""),"""")"),"DNSWhv1uGjZ")</f>
        <v>DNSWhv1uGjZ</v>
      </c>
      <c r="N4" s="23" t="s">
        <v>53</v>
      </c>
      <c r="O4" s="24" t="s">
        <v>38</v>
      </c>
      <c r="P4" s="27" t="s">
        <v>54</v>
      </c>
      <c r="Q4" s="23" t="s">
        <v>55</v>
      </c>
      <c r="R4" s="27">
        <v>22800.0</v>
      </c>
      <c r="S4" s="27">
        <v>252.0</v>
      </c>
      <c r="T4" s="27">
        <v>251.0</v>
      </c>
      <c r="U4" s="27">
        <v>94.0</v>
      </c>
      <c r="V4" s="27">
        <v>10.0</v>
      </c>
      <c r="W4" s="27">
        <v>18.0</v>
      </c>
      <c r="X4" s="25" t="s">
        <v>50</v>
      </c>
    </row>
    <row r="5">
      <c r="A5" s="22">
        <v>4.0</v>
      </c>
      <c r="B5" s="7" t="s">
        <v>56</v>
      </c>
      <c r="C5" s="23" t="s">
        <v>57</v>
      </c>
      <c r="D5" s="24" t="s">
        <v>38</v>
      </c>
      <c r="E5" s="25" t="s">
        <v>58</v>
      </c>
      <c r="F5" s="26"/>
      <c r="G5" s="27">
        <v>72100.0</v>
      </c>
      <c r="H5" s="27">
        <v>210.0</v>
      </c>
      <c r="I5" s="27">
        <v>7645.0</v>
      </c>
      <c r="J5" s="27">
        <v>296.0</v>
      </c>
      <c r="K5" s="27">
        <v>256.0</v>
      </c>
      <c r="L5" s="27">
        <v>583.0</v>
      </c>
      <c r="M5" s="7" t="str">
        <f>IFERROR(__xludf.DUMMYFUNCTION("IFERROR(REGEXEXTRACT(N5,""instagram\.com/p/([^/]+)""),"""")"),"DMyBan2tx-f")</f>
        <v>DMyBan2tx-f</v>
      </c>
      <c r="N5" s="23" t="s">
        <v>59</v>
      </c>
      <c r="O5" s="24" t="s">
        <v>38</v>
      </c>
      <c r="Q5" s="23" t="s">
        <v>60</v>
      </c>
      <c r="R5" s="27">
        <v>32100.0</v>
      </c>
      <c r="S5" s="27">
        <v>264.0</v>
      </c>
      <c r="T5" s="27">
        <v>2567.0</v>
      </c>
      <c r="U5" s="27">
        <v>86.0</v>
      </c>
      <c r="V5" s="27">
        <v>29.0</v>
      </c>
      <c r="W5" s="27">
        <v>254.0</v>
      </c>
      <c r="X5" s="25" t="s">
        <v>61</v>
      </c>
    </row>
    <row r="6">
      <c r="A6" s="22">
        <v>5.0</v>
      </c>
      <c r="B6" s="7" t="s">
        <v>62</v>
      </c>
      <c r="C6" s="23" t="s">
        <v>63</v>
      </c>
      <c r="D6" s="24" t="s">
        <v>38</v>
      </c>
      <c r="E6" s="25" t="s">
        <v>64</v>
      </c>
      <c r="F6" s="26"/>
      <c r="G6" s="27">
        <v>15400.0</v>
      </c>
      <c r="H6" s="27">
        <v>24.0</v>
      </c>
      <c r="I6" s="27">
        <v>2996.0</v>
      </c>
      <c r="J6" s="27">
        <v>40.0</v>
      </c>
      <c r="K6" s="27">
        <v>34.0</v>
      </c>
      <c r="L6" s="27">
        <v>176.0</v>
      </c>
      <c r="M6" s="7" t="str">
        <f>IFERROR(__xludf.DUMMYFUNCTION("IFERROR(REGEXEXTRACT(N6,""instagram\.com/p/([^/]+)""),"""")"),"DHOa6Ajt1dq")</f>
        <v>DHOa6Ajt1dq</v>
      </c>
      <c r="N6" s="23" t="s">
        <v>65</v>
      </c>
      <c r="O6" s="24" t="s">
        <v>38</v>
      </c>
      <c r="P6" s="27" t="s">
        <v>66</v>
      </c>
      <c r="Q6" s="23" t="s">
        <v>67</v>
      </c>
      <c r="R6" s="27">
        <v>56500.0</v>
      </c>
      <c r="S6" s="27">
        <v>225.0</v>
      </c>
      <c r="T6" s="27">
        <v>19200.0</v>
      </c>
      <c r="U6" s="27">
        <v>250.0</v>
      </c>
      <c r="V6" s="27">
        <v>32.0</v>
      </c>
      <c r="W6" s="27">
        <v>3032.0</v>
      </c>
      <c r="X6" s="25" t="s">
        <v>61</v>
      </c>
    </row>
    <row r="7">
      <c r="A7" s="22">
        <v>6.0</v>
      </c>
      <c r="B7" s="7" t="s">
        <v>68</v>
      </c>
      <c r="C7" s="23" t="s">
        <v>69</v>
      </c>
      <c r="D7" s="24" t="s">
        <v>38</v>
      </c>
      <c r="E7" s="25" t="s">
        <v>70</v>
      </c>
      <c r="F7" s="26"/>
      <c r="G7" s="27">
        <v>14700.0</v>
      </c>
      <c r="H7" s="27">
        <v>163.0</v>
      </c>
      <c r="I7" s="27">
        <v>1370.0</v>
      </c>
      <c r="J7" s="27">
        <v>134.0</v>
      </c>
      <c r="K7" s="27">
        <v>3.0</v>
      </c>
      <c r="L7" s="27">
        <v>158.0</v>
      </c>
      <c r="M7" s="7" t="str">
        <f>IFERROR(__xludf.DUMMYFUNCTION("IFERROR(REGEXEXTRACT(N7,""instagram\.com/p/([^/]+)""),"""")"),"C0sQkLEPkyC")</f>
        <v>C0sQkLEPkyC</v>
      </c>
      <c r="N7" s="23" t="s">
        <v>71</v>
      </c>
      <c r="O7" s="24" t="s">
        <v>38</v>
      </c>
      <c r="Q7" s="23" t="s">
        <v>72</v>
      </c>
      <c r="R7" s="27">
        <v>7794.0</v>
      </c>
      <c r="S7" s="27">
        <v>5889.0</v>
      </c>
      <c r="T7" s="27">
        <v>2582.0</v>
      </c>
      <c r="U7" s="27">
        <v>32.0</v>
      </c>
      <c r="V7" s="27">
        <v>0.0</v>
      </c>
      <c r="W7" s="27">
        <v>0.0</v>
      </c>
      <c r="X7" s="25" t="s">
        <v>61</v>
      </c>
    </row>
    <row r="8">
      <c r="A8" s="22">
        <v>7.0</v>
      </c>
      <c r="B8" s="7" t="s">
        <v>73</v>
      </c>
      <c r="C8" s="23" t="s">
        <v>74</v>
      </c>
      <c r="D8" s="24" t="s">
        <v>38</v>
      </c>
      <c r="E8" s="25" t="s">
        <v>75</v>
      </c>
      <c r="F8" s="26"/>
      <c r="G8" s="27">
        <v>2304.0</v>
      </c>
      <c r="H8" s="27">
        <v>76.0</v>
      </c>
      <c r="I8" s="27">
        <v>59.0</v>
      </c>
      <c r="J8" s="27">
        <v>12.0</v>
      </c>
      <c r="K8" s="27">
        <v>0.0</v>
      </c>
      <c r="L8" s="27">
        <v>0.0</v>
      </c>
      <c r="M8" s="7" t="str">
        <f>IFERROR(__xludf.DUMMYFUNCTION("IFERROR(REGEXEXTRACT(N8,""instagram\.com/p/([^/]+)""),"""")"),"DQcyILfj1Nx")</f>
        <v>DQcyILfj1Nx</v>
      </c>
      <c r="N8" s="23" t="s">
        <v>76</v>
      </c>
      <c r="O8" s="24" t="s">
        <v>38</v>
      </c>
      <c r="P8" s="27" t="s">
        <v>77</v>
      </c>
      <c r="Q8" s="23" t="s">
        <v>78</v>
      </c>
      <c r="R8" s="27">
        <v>3647.0</v>
      </c>
      <c r="S8" s="27">
        <v>301.0</v>
      </c>
      <c r="U8" s="27">
        <v>67.0</v>
      </c>
      <c r="V8" s="27">
        <v>10.0</v>
      </c>
      <c r="W8" s="27">
        <v>0.0</v>
      </c>
      <c r="X8" s="25" t="s">
        <v>61</v>
      </c>
    </row>
    <row r="9">
      <c r="A9" s="22">
        <v>8.0</v>
      </c>
      <c r="B9" s="7" t="s">
        <v>79</v>
      </c>
      <c r="C9" s="23" t="s">
        <v>80</v>
      </c>
      <c r="D9" s="24" t="s">
        <v>38</v>
      </c>
      <c r="E9" s="25" t="s">
        <v>81</v>
      </c>
      <c r="F9" s="26"/>
      <c r="G9" s="27">
        <v>55800.0</v>
      </c>
      <c r="H9" s="27">
        <v>1032.0</v>
      </c>
      <c r="I9" s="27">
        <v>32600.0</v>
      </c>
      <c r="J9" s="27">
        <v>78.0</v>
      </c>
      <c r="K9" s="27">
        <v>45.0</v>
      </c>
      <c r="L9" s="27">
        <v>6047.0</v>
      </c>
      <c r="M9" s="7" t="str">
        <f>IFERROR(__xludf.DUMMYFUNCTION("IFERROR(REGEXEXTRACT(N9,""instagram\.com/p/([^/]+)""),"""")"),"DQhcx5VDMHT")</f>
        <v>DQhcx5VDMHT</v>
      </c>
      <c r="N9" s="23" t="s">
        <v>82</v>
      </c>
      <c r="O9" s="24" t="s">
        <v>38</v>
      </c>
      <c r="Q9" s="23" t="s">
        <v>83</v>
      </c>
      <c r="R9" s="27">
        <v>24200.0</v>
      </c>
      <c r="S9" s="27">
        <v>730.0</v>
      </c>
      <c r="T9" s="27">
        <v>1450.0</v>
      </c>
      <c r="U9" s="27">
        <v>183.0</v>
      </c>
      <c r="V9" s="27">
        <v>21.0</v>
      </c>
      <c r="W9" s="27">
        <v>55.0</v>
      </c>
      <c r="X9" s="25" t="s">
        <v>50</v>
      </c>
    </row>
    <row r="10">
      <c r="A10" s="22">
        <v>9.0</v>
      </c>
      <c r="B10" s="7" t="s">
        <v>84</v>
      </c>
      <c r="C10" s="23" t="s">
        <v>85</v>
      </c>
      <c r="D10" s="24" t="s">
        <v>38</v>
      </c>
      <c r="E10" s="25" t="s">
        <v>86</v>
      </c>
      <c r="F10" s="29" t="s">
        <v>87</v>
      </c>
      <c r="G10" s="27">
        <v>1320.0</v>
      </c>
      <c r="H10" s="27">
        <v>37.0</v>
      </c>
      <c r="I10" s="27">
        <v>34.0</v>
      </c>
      <c r="J10" s="27">
        <v>1.0</v>
      </c>
      <c r="K10" s="27">
        <v>0.0</v>
      </c>
      <c r="L10" s="27">
        <v>0.0</v>
      </c>
      <c r="M10" s="7" t="str">
        <f>IFERROR(__xludf.DUMMYFUNCTION("IFERROR(REGEXEXTRACT(N10,""instagram\.com/p/([^/]+)""),"""")"),"DVYkAyEDF9p")</f>
        <v>DVYkAyEDF9p</v>
      </c>
      <c r="N10" s="30" t="s">
        <v>88</v>
      </c>
      <c r="O10" s="24" t="s">
        <v>38</v>
      </c>
      <c r="P10" s="27" t="s">
        <v>89</v>
      </c>
      <c r="Q10" s="23" t="s">
        <v>90</v>
      </c>
      <c r="R10" s="27">
        <v>1221.0</v>
      </c>
      <c r="S10" s="27">
        <v>636.0</v>
      </c>
      <c r="T10" s="27">
        <v>27.0</v>
      </c>
      <c r="U10" s="27">
        <v>22.0</v>
      </c>
      <c r="V10" s="27">
        <v>3.0</v>
      </c>
      <c r="W10" s="27">
        <v>1.0</v>
      </c>
      <c r="X10" s="25" t="s">
        <v>91</v>
      </c>
    </row>
    <row r="11">
      <c r="A11" s="15">
        <v>10.0</v>
      </c>
      <c r="B11" s="7" t="s">
        <v>92</v>
      </c>
      <c r="C11" s="23" t="s">
        <v>93</v>
      </c>
      <c r="D11" s="24" t="s">
        <v>38</v>
      </c>
      <c r="E11" s="28"/>
      <c r="F11" s="26"/>
      <c r="G11" s="27">
        <v>3154.0</v>
      </c>
      <c r="H11" s="27">
        <v>205.0</v>
      </c>
      <c r="I11" s="27">
        <v>1044.0</v>
      </c>
      <c r="J11" s="27">
        <v>29.0</v>
      </c>
      <c r="K11" s="27">
        <v>24.0</v>
      </c>
      <c r="L11" s="27">
        <v>35.0</v>
      </c>
      <c r="M11" s="7" t="str">
        <f>IFERROR(__xludf.DUMMYFUNCTION("IFERROR(REGEXEXTRACT(N11,""instagram\.com/p/([^/]+)""),"""")"),"Co-OeX8tLU-")</f>
        <v>Co-OeX8tLU-</v>
      </c>
      <c r="N11" s="23" t="s">
        <v>94</v>
      </c>
      <c r="O11" s="24" t="s">
        <v>38</v>
      </c>
      <c r="P11" s="27" t="s">
        <v>95</v>
      </c>
      <c r="Q11" s="23" t="s">
        <v>96</v>
      </c>
      <c r="R11" s="27">
        <v>54200.0</v>
      </c>
      <c r="S11" s="27">
        <v>1236.0</v>
      </c>
      <c r="T11" s="27">
        <v>126.0</v>
      </c>
      <c r="U11" s="27">
        <v>16.0</v>
      </c>
      <c r="V11" s="27">
        <v>0.0</v>
      </c>
      <c r="W11" s="27">
        <v>0.0</v>
      </c>
      <c r="X11" s="25" t="s">
        <v>43</v>
      </c>
    </row>
    <row r="12">
      <c r="A12" s="31">
        <v>11.0</v>
      </c>
      <c r="B12" s="32" t="str">
        <f>IFERROR(__xludf.DUMMYFUNCTION("IFERROR(REGEXEXTRACT(C12,""instagram\.com/p/([^/]+)""),"""")"),"Cy-If2RN884")</f>
        <v>Cy-If2RN884</v>
      </c>
      <c r="C12" s="33" t="s">
        <v>97</v>
      </c>
      <c r="D12" s="34" t="s">
        <v>38</v>
      </c>
      <c r="E12" s="35" t="s">
        <v>98</v>
      </c>
      <c r="F12" s="36" t="s">
        <v>99</v>
      </c>
      <c r="G12" s="37">
        <v>64400.0</v>
      </c>
      <c r="H12" s="37">
        <v>1993.0</v>
      </c>
      <c r="I12" s="37">
        <v>22500.0</v>
      </c>
      <c r="J12" s="37">
        <v>107.0</v>
      </c>
      <c r="K12" s="37">
        <v>1.0</v>
      </c>
      <c r="L12" s="37">
        <v>2.0</v>
      </c>
      <c r="M12" s="32" t="str">
        <f>IFERROR(__xludf.DUMMYFUNCTION("IFERROR(REGEXEXTRACT(N12,""instagram\.com/p/([^/]+)""),"""")"),"DS46sWajEKe")</f>
        <v>DS46sWajEKe</v>
      </c>
      <c r="N12" s="38" t="s">
        <v>100</v>
      </c>
      <c r="O12" s="39" t="s">
        <v>38</v>
      </c>
      <c r="P12" s="40" t="s">
        <v>101</v>
      </c>
      <c r="Q12" s="38" t="s">
        <v>102</v>
      </c>
      <c r="R12" s="41">
        <v>326000.0</v>
      </c>
      <c r="S12" s="41">
        <v>1311.0</v>
      </c>
      <c r="T12" s="41">
        <v>154000.0</v>
      </c>
      <c r="U12" s="41">
        <v>324.0</v>
      </c>
      <c r="V12" s="41">
        <v>10100.0</v>
      </c>
      <c r="W12" s="41">
        <v>10700.0</v>
      </c>
      <c r="X12" s="42" t="s">
        <v>103</v>
      </c>
    </row>
    <row r="13">
      <c r="A13" s="31">
        <v>12.0</v>
      </c>
      <c r="B13" s="7" t="str">
        <f>IFERROR(__xludf.DUMMYFUNCTION("IFERROR(REGEXEXTRACT(C13,""instagram\.com/p/([^/]+)""),"""")"),"DTD6ISFD4Q-")</f>
        <v>DTD6ISFD4Q-</v>
      </c>
      <c r="C13" s="23" t="s">
        <v>104</v>
      </c>
      <c r="D13" s="24" t="s">
        <v>38</v>
      </c>
      <c r="E13" s="25" t="s">
        <v>105</v>
      </c>
      <c r="F13" s="43" t="s">
        <v>106</v>
      </c>
      <c r="G13" s="27">
        <v>85400.0</v>
      </c>
      <c r="H13" s="27">
        <v>357.0</v>
      </c>
      <c r="I13" s="27">
        <v>1848.0</v>
      </c>
      <c r="J13" s="27">
        <v>34.0</v>
      </c>
      <c r="K13" s="27">
        <v>9.0</v>
      </c>
      <c r="L13" s="27">
        <v>89.0</v>
      </c>
      <c r="M13" s="7" t="str">
        <f>IFERROR(__xludf.DUMMYFUNCTION("IFERROR(REGEXEXTRACT(N13,""instagram\.com/p/([^/]+)""),"""")"),"DT5TuKfjWvD")</f>
        <v>DT5TuKfjWvD</v>
      </c>
      <c r="N13" s="23" t="s">
        <v>107</v>
      </c>
      <c r="O13" s="24" t="s">
        <v>38</v>
      </c>
      <c r="P13" s="27" t="s">
        <v>105</v>
      </c>
      <c r="Q13" s="23" t="s">
        <v>108</v>
      </c>
      <c r="R13" s="27">
        <v>12900.0</v>
      </c>
      <c r="S13" s="27">
        <v>96.0</v>
      </c>
      <c r="T13" s="27">
        <v>437.0</v>
      </c>
      <c r="U13" s="27">
        <v>21.0</v>
      </c>
      <c r="V13" s="27">
        <v>6.0</v>
      </c>
      <c r="W13" s="27">
        <v>24.0</v>
      </c>
      <c r="X13" s="25" t="s">
        <v>109</v>
      </c>
    </row>
    <row r="14">
      <c r="A14" s="31">
        <v>13.0</v>
      </c>
      <c r="B14" s="7" t="str">
        <f>IFERROR(__xludf.DUMMYFUNCTION("IFERROR(REGEXEXTRACT(C14,""instagram\.com/p/([^/]+)""),"""")"),"CzWZhRMPvrq")</f>
        <v>CzWZhRMPvrq</v>
      </c>
      <c r="C14" s="23" t="s">
        <v>110</v>
      </c>
      <c r="D14" s="24" t="s">
        <v>38</v>
      </c>
      <c r="E14" s="25" t="s">
        <v>111</v>
      </c>
      <c r="F14" s="43" t="s">
        <v>112</v>
      </c>
      <c r="G14" s="27">
        <v>6943.0</v>
      </c>
      <c r="H14" s="27">
        <v>534.0</v>
      </c>
      <c r="I14" s="27">
        <v>1308.0</v>
      </c>
      <c r="J14" s="27">
        <v>57.0</v>
      </c>
      <c r="K14" s="27">
        <v>0.0</v>
      </c>
      <c r="L14" s="27">
        <v>22.0</v>
      </c>
      <c r="M14" s="7" t="str">
        <f>IFERROR(__xludf.DUMMYFUNCTION("IFERROR(REGEXEXTRACT(N14,""instagram\.com/p/([^/]+)""),"""")"),"DPZX0snCLqL")</f>
        <v>DPZX0snCLqL</v>
      </c>
      <c r="N14" s="23" t="s">
        <v>113</v>
      </c>
      <c r="O14" s="24" t="s">
        <v>38</v>
      </c>
      <c r="P14" s="27" t="s">
        <v>114</v>
      </c>
      <c r="Q14" s="23" t="s">
        <v>115</v>
      </c>
      <c r="R14" s="27">
        <v>11100.0</v>
      </c>
      <c r="S14" s="27">
        <v>1184.0</v>
      </c>
      <c r="T14" s="27">
        <v>206.0</v>
      </c>
      <c r="U14" s="27">
        <v>96.0</v>
      </c>
      <c r="V14" s="27">
        <v>5.0</v>
      </c>
      <c r="W14" s="27">
        <v>9.0</v>
      </c>
      <c r="X14" s="25" t="s">
        <v>116</v>
      </c>
    </row>
    <row r="15">
      <c r="A15" s="31">
        <v>14.0</v>
      </c>
      <c r="B15" s="7" t="str">
        <f>IFERROR(__xludf.DUMMYFUNCTION("IFERROR(REGEXEXTRACT(C15,""instagram\.com/p/([^/]+)""),"""")"),"C5-XuYytQJA")</f>
        <v>C5-XuYytQJA</v>
      </c>
      <c r="C15" s="23" t="s">
        <v>117</v>
      </c>
      <c r="D15" s="24" t="s">
        <v>38</v>
      </c>
      <c r="E15" s="25" t="s">
        <v>118</v>
      </c>
      <c r="F15" s="43" t="s">
        <v>119</v>
      </c>
      <c r="G15" s="27">
        <v>10000.0</v>
      </c>
      <c r="H15" s="27">
        <v>427.0</v>
      </c>
      <c r="I15" s="27">
        <v>1013.0</v>
      </c>
      <c r="J15" s="27">
        <v>42.0</v>
      </c>
      <c r="K15" s="27">
        <v>0.0</v>
      </c>
      <c r="L15" s="27">
        <v>6.0</v>
      </c>
      <c r="M15" s="7" t="str">
        <f>IFERROR(__xludf.DUMMYFUNCTION("IFERROR(REGEXEXTRACT(N15,""instagram\.com/p/([^/]+)""),"""")"),"DVD1_XvCDTi")</f>
        <v>DVD1_XvCDTi</v>
      </c>
      <c r="N15" s="23" t="s">
        <v>120</v>
      </c>
      <c r="O15" s="24" t="s">
        <v>38</v>
      </c>
      <c r="P15" s="27" t="s">
        <v>121</v>
      </c>
      <c r="Q15" s="23" t="s">
        <v>122</v>
      </c>
      <c r="R15" s="27">
        <v>18900.0</v>
      </c>
      <c r="S15" s="27">
        <v>122.0</v>
      </c>
      <c r="T15" s="27">
        <v>3821.0</v>
      </c>
      <c r="U15" s="27">
        <v>72.0</v>
      </c>
      <c r="V15" s="27">
        <v>189.0</v>
      </c>
      <c r="W15" s="27">
        <v>659.0</v>
      </c>
      <c r="X15" s="25" t="s">
        <v>103</v>
      </c>
    </row>
    <row r="16">
      <c r="A16" s="31">
        <v>15.0</v>
      </c>
      <c r="B16" s="7" t="str">
        <f>IFERROR(__xludf.DUMMYFUNCTION("IFERROR(REGEXEXTRACT(C16,""instagram\.com/p/([^/]+)""),"""")"),"DVOsQAMiOGY")</f>
        <v>DVOsQAMiOGY</v>
      </c>
      <c r="C16" s="23" t="s">
        <v>123</v>
      </c>
      <c r="D16" s="24" t="s">
        <v>38</v>
      </c>
      <c r="E16" s="25" t="s">
        <v>124</v>
      </c>
      <c r="F16" s="44" t="s">
        <v>125</v>
      </c>
      <c r="G16" s="27">
        <v>24100.0</v>
      </c>
      <c r="H16" s="27">
        <v>730.0</v>
      </c>
      <c r="I16" s="27">
        <v>10400.0</v>
      </c>
      <c r="J16" s="27">
        <v>225.0</v>
      </c>
      <c r="K16" s="27">
        <v>116.0</v>
      </c>
      <c r="L16" s="27">
        <v>1153.0</v>
      </c>
      <c r="M16" s="7" t="str">
        <f>IFERROR(__xludf.DUMMYFUNCTION("IFERROR(REGEXEXTRACT(N16,""instagram\.com/p/([^/]+)""),"""")"),"DLGLX5bIe9Q")</f>
        <v>DLGLX5bIe9Q</v>
      </c>
      <c r="N16" s="23" t="s">
        <v>126</v>
      </c>
      <c r="O16" s="24" t="s">
        <v>38</v>
      </c>
      <c r="P16" s="27" t="s">
        <v>127</v>
      </c>
      <c r="Q16" s="23" t="s">
        <v>128</v>
      </c>
      <c r="R16" s="27">
        <v>30400.0</v>
      </c>
      <c r="S16" s="27">
        <v>1683.0</v>
      </c>
      <c r="T16" s="27">
        <v>509.0</v>
      </c>
      <c r="U16" s="27">
        <v>11.0</v>
      </c>
      <c r="V16" s="27">
        <v>1.0</v>
      </c>
      <c r="W16" s="27">
        <v>21.0</v>
      </c>
      <c r="X16" s="25" t="s">
        <v>116</v>
      </c>
    </row>
    <row r="17">
      <c r="A17" s="31">
        <v>16.0</v>
      </c>
      <c r="B17" s="7" t="str">
        <f>IFERROR(__xludf.DUMMYFUNCTION("IFERROR(REGEXEXTRACT(C17,""instagram\.com/p/([^/]+)""),"""")"),"DU3SuY6CELe")</f>
        <v>DU3SuY6CELe</v>
      </c>
      <c r="C17" s="23" t="s">
        <v>129</v>
      </c>
      <c r="D17" s="24" t="s">
        <v>38</v>
      </c>
      <c r="E17" s="25" t="s">
        <v>130</v>
      </c>
      <c r="F17" s="44" t="s">
        <v>131</v>
      </c>
      <c r="G17" s="27">
        <v>2334.0</v>
      </c>
      <c r="H17" s="27">
        <v>315.0</v>
      </c>
      <c r="I17" s="27">
        <v>4136.0</v>
      </c>
      <c r="J17" s="27">
        <v>67.0</v>
      </c>
      <c r="K17" s="27">
        <v>77.0</v>
      </c>
      <c r="L17" s="27">
        <v>200.0</v>
      </c>
      <c r="M17" s="7" t="str">
        <f>IFERROR(__xludf.DUMMYFUNCTION("IFERROR(REGEXEXTRACT(N17,""instagram\.com/p/([^/]+)""),"""")"),"DU2oB0uCOGt")</f>
        <v>DU2oB0uCOGt</v>
      </c>
      <c r="N17" s="23" t="s">
        <v>132</v>
      </c>
      <c r="O17" s="24" t="s">
        <v>38</v>
      </c>
      <c r="P17" s="27" t="s">
        <v>133</v>
      </c>
      <c r="Q17" s="23" t="s">
        <v>134</v>
      </c>
      <c r="R17" s="27">
        <v>6484.0</v>
      </c>
      <c r="S17" s="27">
        <v>802.0</v>
      </c>
      <c r="T17" s="27">
        <v>94.0</v>
      </c>
      <c r="U17" s="27">
        <v>62.0</v>
      </c>
      <c r="V17" s="27">
        <v>0.0</v>
      </c>
      <c r="W17" s="27">
        <v>7.0</v>
      </c>
      <c r="X17" s="25" t="s">
        <v>116</v>
      </c>
    </row>
    <row r="18">
      <c r="A18" s="31">
        <v>17.0</v>
      </c>
      <c r="B18" s="7" t="str">
        <f>IFERROR(__xludf.DUMMYFUNCTION("IFERROR(REGEXEXTRACT(C18,""instagram\.com/p/([^/]+)""),"""")"),"DRJ6WbgDHPj")</f>
        <v>DRJ6WbgDHPj</v>
      </c>
      <c r="C18" s="23" t="s">
        <v>135</v>
      </c>
      <c r="D18" s="24" t="s">
        <v>38</v>
      </c>
      <c r="E18" s="25" t="s">
        <v>136</v>
      </c>
      <c r="F18" s="44" t="s">
        <v>137</v>
      </c>
      <c r="G18" s="27">
        <v>1294.0</v>
      </c>
      <c r="H18" s="27">
        <v>305.0</v>
      </c>
      <c r="I18" s="27">
        <v>68.0</v>
      </c>
      <c r="J18" s="27">
        <v>26.0</v>
      </c>
      <c r="K18" s="27">
        <v>2.0</v>
      </c>
      <c r="L18" s="27">
        <v>6.0</v>
      </c>
      <c r="M18" s="7" t="str">
        <f>IFERROR(__xludf.DUMMYFUNCTION("IFERROR(REGEXEXTRACT(N18,""instagram\.com/p/([^/]+)""),"""")"),"DKYASe8Ivyo")</f>
        <v>DKYASe8Ivyo</v>
      </c>
      <c r="N18" s="23" t="s">
        <v>138</v>
      </c>
      <c r="O18" s="24" t="s">
        <v>38</v>
      </c>
      <c r="P18" s="27" t="s">
        <v>136</v>
      </c>
      <c r="Q18" s="23" t="s">
        <v>134</v>
      </c>
      <c r="R18" s="27">
        <v>6484.0</v>
      </c>
      <c r="S18" s="27">
        <v>802.0</v>
      </c>
      <c r="T18" s="27">
        <v>121.0</v>
      </c>
      <c r="U18" s="27">
        <v>37.0</v>
      </c>
      <c r="V18" s="27">
        <v>0.0</v>
      </c>
      <c r="W18" s="27">
        <v>3.0</v>
      </c>
      <c r="X18" s="25" t="s">
        <v>116</v>
      </c>
    </row>
    <row r="19">
      <c r="A19" s="31">
        <v>18.0</v>
      </c>
      <c r="B19" s="7" t="str">
        <f>IFERROR(__xludf.DUMMYFUNCTION("IFERROR(REGEXEXTRACT(C19,""instagram\.com/p/([^/]+)""),"""")"),"DSIYSSbDNd_")</f>
        <v>DSIYSSbDNd_</v>
      </c>
      <c r="C19" s="23" t="s">
        <v>139</v>
      </c>
      <c r="D19" s="24" t="s">
        <v>38</v>
      </c>
      <c r="E19" s="25" t="s">
        <v>140</v>
      </c>
      <c r="F19" s="44" t="s">
        <v>141</v>
      </c>
      <c r="G19" s="27">
        <v>6134.0</v>
      </c>
      <c r="H19" s="27">
        <v>233.0</v>
      </c>
      <c r="I19" s="27">
        <v>1371.0</v>
      </c>
      <c r="J19" s="27">
        <v>256.0</v>
      </c>
      <c r="K19" s="27">
        <v>94.0</v>
      </c>
      <c r="L19" s="27">
        <v>48.0</v>
      </c>
      <c r="M19" s="7" t="str">
        <f>IFERROR(__xludf.DUMMYFUNCTION("IFERROR(REGEXEXTRACT(N19,""instagram\.com/p/([^/]+)""),"""")"),"DRPrkoRDOoZ")</f>
        <v>DRPrkoRDOoZ</v>
      </c>
      <c r="N19" s="23" t="s">
        <v>142</v>
      </c>
      <c r="O19" s="24" t="s">
        <v>38</v>
      </c>
      <c r="P19" s="27" t="s">
        <v>143</v>
      </c>
      <c r="Q19" s="23" t="s">
        <v>144</v>
      </c>
      <c r="R19" s="27">
        <v>1626.0</v>
      </c>
      <c r="S19" s="27">
        <v>236.0</v>
      </c>
      <c r="T19" s="27">
        <v>116.0</v>
      </c>
      <c r="U19" s="27">
        <v>55.0</v>
      </c>
      <c r="V19" s="27">
        <v>12.0</v>
      </c>
      <c r="W19" s="27">
        <v>8.0</v>
      </c>
      <c r="X19" s="25" t="s">
        <v>109</v>
      </c>
    </row>
    <row r="20">
      <c r="A20" s="31">
        <v>19.0</v>
      </c>
      <c r="B20" s="7" t="str">
        <f>IFERROR(__xludf.DUMMYFUNCTION("IFERROR(REGEXEXTRACT(C20,""instagram\.com/p/([^/]+)""),"""")"),"DUSV9KtAh7_")</f>
        <v>DUSV9KtAh7_</v>
      </c>
      <c r="C20" s="30" t="s">
        <v>145</v>
      </c>
      <c r="D20" s="24" t="s">
        <v>38</v>
      </c>
      <c r="E20" s="45" t="s">
        <v>146</v>
      </c>
      <c r="F20" s="44" t="s">
        <v>147</v>
      </c>
      <c r="G20" s="27">
        <v>1146.0</v>
      </c>
      <c r="H20" s="27">
        <v>160.0</v>
      </c>
      <c r="I20" s="27">
        <v>95.0</v>
      </c>
      <c r="J20" s="27">
        <v>27.0</v>
      </c>
      <c r="K20" s="27">
        <v>1.0</v>
      </c>
      <c r="L20" s="27">
        <v>1.0</v>
      </c>
      <c r="M20" s="7" t="str">
        <f>IFERROR(__xludf.DUMMYFUNCTION("IFERROR(REGEXEXTRACT(N20,""instagram\.com/p/([^/]+)""),"""")"),"DQjRfrPkmrF")</f>
        <v>DQjRfrPkmrF</v>
      </c>
      <c r="N20" s="23" t="s">
        <v>148</v>
      </c>
      <c r="O20" s="24" t="s">
        <v>38</v>
      </c>
      <c r="P20" s="27" t="s">
        <v>149</v>
      </c>
      <c r="Q20" s="23" t="s">
        <v>150</v>
      </c>
      <c r="R20" s="27">
        <v>1308.0</v>
      </c>
      <c r="S20" s="27">
        <v>116.0</v>
      </c>
      <c r="T20" s="27">
        <v>63.0</v>
      </c>
      <c r="U20" s="27">
        <v>15.0</v>
      </c>
      <c r="V20" s="27">
        <v>0.0</v>
      </c>
      <c r="W20" s="27">
        <v>0.0</v>
      </c>
      <c r="X20" s="25" t="s">
        <v>109</v>
      </c>
    </row>
    <row r="21">
      <c r="A21" s="31">
        <v>20.0</v>
      </c>
      <c r="B21" s="7" t="str">
        <f>IFERROR(__xludf.DUMMYFUNCTION("IFERROR(REGEXEXTRACT(C21,""instagram\.com/p/([^/]+)""),"""")"),"DQ7CQx0gr5i")</f>
        <v>DQ7CQx0gr5i</v>
      </c>
      <c r="C21" s="23" t="s">
        <v>151</v>
      </c>
      <c r="D21" s="24" t="s">
        <v>38</v>
      </c>
      <c r="E21" s="25" t="s">
        <v>152</v>
      </c>
      <c r="F21" s="44" t="s">
        <v>153</v>
      </c>
      <c r="G21" s="27">
        <v>15000.0</v>
      </c>
      <c r="H21" s="27">
        <v>980.0</v>
      </c>
      <c r="I21" s="27">
        <v>411.0</v>
      </c>
      <c r="J21" s="27">
        <v>90.0</v>
      </c>
      <c r="K21" s="27">
        <v>4.0</v>
      </c>
      <c r="L21" s="27">
        <v>3.0</v>
      </c>
      <c r="M21" s="7" t="str">
        <f>IFERROR(__xludf.DUMMYFUNCTION("IFERROR(REGEXEXTRACT(N21,""instagram\.com/p/([^/]+)""),"""")"),"DScKTvjDD6e")</f>
        <v>DScKTvjDD6e</v>
      </c>
      <c r="N21" s="23" t="s">
        <v>154</v>
      </c>
      <c r="O21" s="24" t="s">
        <v>38</v>
      </c>
      <c r="P21" s="27" t="s">
        <v>155</v>
      </c>
      <c r="Q21" s="23" t="s">
        <v>156</v>
      </c>
      <c r="R21" s="27">
        <v>14100.0</v>
      </c>
      <c r="S21" s="27">
        <v>2844.0</v>
      </c>
      <c r="T21" s="27">
        <v>714.0</v>
      </c>
      <c r="U21" s="27">
        <v>12.0</v>
      </c>
      <c r="V21" s="27">
        <v>12.0</v>
      </c>
      <c r="W21" s="27">
        <v>92.0</v>
      </c>
      <c r="X21" s="25" t="s">
        <v>103</v>
      </c>
    </row>
    <row r="22">
      <c r="A22" s="46">
        <v>21.0</v>
      </c>
      <c r="B22" s="47" t="s">
        <v>157</v>
      </c>
      <c r="C22" s="48" t="s">
        <v>158</v>
      </c>
      <c r="D22" s="49" t="s">
        <v>38</v>
      </c>
      <c r="E22" s="47" t="s">
        <v>159</v>
      </c>
      <c r="F22" s="50" t="s">
        <v>160</v>
      </c>
      <c r="G22" s="47">
        <v>2.84612304E8</v>
      </c>
      <c r="H22" s="47">
        <v>583.0</v>
      </c>
      <c r="I22" s="47">
        <v>2300000.0</v>
      </c>
      <c r="J22" s="47">
        <v>5730.0</v>
      </c>
      <c r="K22" s="47">
        <v>17900.0</v>
      </c>
      <c r="L22" s="47">
        <v>30100.0</v>
      </c>
      <c r="M22" s="49" t="s">
        <v>161</v>
      </c>
      <c r="N22" s="51" t="s">
        <v>162</v>
      </c>
      <c r="O22" s="52" t="s">
        <v>38</v>
      </c>
      <c r="P22" s="53" t="s">
        <v>163</v>
      </c>
      <c r="Q22" s="54" t="s">
        <v>164</v>
      </c>
      <c r="R22" s="47">
        <v>51545.0</v>
      </c>
      <c r="S22" s="47">
        <v>696.0</v>
      </c>
      <c r="T22" s="47">
        <v>2722.0</v>
      </c>
      <c r="U22" s="47">
        <v>187.0</v>
      </c>
      <c r="V22" s="47">
        <v>78.0</v>
      </c>
      <c r="W22" s="47">
        <v>0.0</v>
      </c>
      <c r="X22" s="53" t="s">
        <v>165</v>
      </c>
    </row>
    <row r="23">
      <c r="A23" s="46">
        <v>22.0</v>
      </c>
      <c r="B23" s="7" t="s">
        <v>166</v>
      </c>
      <c r="C23" s="30" t="s">
        <v>167</v>
      </c>
      <c r="D23" s="24" t="s">
        <v>168</v>
      </c>
      <c r="E23" s="25" t="s">
        <v>169</v>
      </c>
      <c r="F23" s="44" t="s">
        <v>170</v>
      </c>
      <c r="G23" s="27">
        <v>585768.0</v>
      </c>
      <c r="H23" s="27">
        <v>7315.0</v>
      </c>
      <c r="I23" s="27">
        <v>44848.0</v>
      </c>
      <c r="J23" s="27">
        <v>98.0</v>
      </c>
      <c r="K23" s="27">
        <v>1443.0</v>
      </c>
      <c r="L23" s="27">
        <v>2206.0</v>
      </c>
      <c r="M23" s="7" t="s">
        <v>171</v>
      </c>
      <c r="N23" s="30" t="s">
        <v>172</v>
      </c>
      <c r="O23" s="24" t="s">
        <v>168</v>
      </c>
      <c r="P23" s="27" t="s">
        <v>173</v>
      </c>
      <c r="Q23" s="23" t="s">
        <v>174</v>
      </c>
      <c r="R23" s="27">
        <v>135115.0</v>
      </c>
      <c r="S23" s="27">
        <v>178.0</v>
      </c>
      <c r="T23" s="27">
        <v>59311.0</v>
      </c>
      <c r="U23" s="27">
        <v>549.0</v>
      </c>
      <c r="V23" s="27">
        <v>980.0</v>
      </c>
      <c r="W23" s="27">
        <v>4301.0</v>
      </c>
      <c r="X23" s="25" t="s">
        <v>165</v>
      </c>
    </row>
    <row r="24">
      <c r="A24" s="46">
        <v>23.0</v>
      </c>
      <c r="B24" s="7" t="s">
        <v>175</v>
      </c>
      <c r="C24" s="30" t="s">
        <v>176</v>
      </c>
      <c r="D24" s="24" t="s">
        <v>168</v>
      </c>
      <c r="E24" s="25" t="s">
        <v>177</v>
      </c>
      <c r="F24" s="55" t="s">
        <v>178</v>
      </c>
      <c r="G24" s="27">
        <v>1189314.0</v>
      </c>
      <c r="H24" s="27">
        <v>1932.0</v>
      </c>
      <c r="I24" s="27">
        <v>163000.0</v>
      </c>
      <c r="J24" s="27">
        <v>513.0</v>
      </c>
      <c r="K24" s="27">
        <v>11200.0</v>
      </c>
      <c r="L24" s="27">
        <v>19700.0</v>
      </c>
      <c r="M24" s="7" t="s">
        <v>179</v>
      </c>
      <c r="N24" s="30" t="s">
        <v>180</v>
      </c>
      <c r="O24" s="24" t="s">
        <v>168</v>
      </c>
      <c r="P24" s="27" t="s">
        <v>181</v>
      </c>
      <c r="Q24" s="30" t="s">
        <v>182</v>
      </c>
      <c r="R24" s="27">
        <v>78320.0</v>
      </c>
      <c r="S24" s="27">
        <v>37.0</v>
      </c>
      <c r="T24" s="27">
        <v>1253045.0</v>
      </c>
      <c r="U24" s="27">
        <v>13700.0</v>
      </c>
      <c r="V24" s="27">
        <v>22800.0</v>
      </c>
      <c r="W24" s="27">
        <v>95200.0</v>
      </c>
      <c r="X24" s="25" t="s">
        <v>165</v>
      </c>
    </row>
    <row r="25">
      <c r="A25" s="46">
        <v>24.0</v>
      </c>
      <c r="B25" s="27" t="s">
        <v>183</v>
      </c>
      <c r="C25" s="56" t="s">
        <v>184</v>
      </c>
      <c r="D25" s="7" t="s">
        <v>168</v>
      </c>
      <c r="E25" s="27" t="s">
        <v>185</v>
      </c>
      <c r="F25" s="57" t="s">
        <v>186</v>
      </c>
      <c r="G25" s="27">
        <v>27400.0</v>
      </c>
      <c r="H25" s="27">
        <v>176.0</v>
      </c>
      <c r="I25" s="27">
        <v>3043.0</v>
      </c>
      <c r="J25" s="27">
        <v>129.0</v>
      </c>
      <c r="K25" s="27">
        <v>62.0</v>
      </c>
      <c r="L25" s="27">
        <v>412.0</v>
      </c>
      <c r="M25" s="27" t="s">
        <v>187</v>
      </c>
      <c r="N25" s="56" t="s">
        <v>188</v>
      </c>
      <c r="O25" s="7" t="s">
        <v>168</v>
      </c>
      <c r="P25" s="27" t="s">
        <v>189</v>
      </c>
      <c r="Q25" s="56" t="s">
        <v>190</v>
      </c>
      <c r="R25" s="27">
        <v>998000.0</v>
      </c>
      <c r="S25" s="27">
        <v>987.0</v>
      </c>
      <c r="T25" s="27">
        <v>72400.0</v>
      </c>
      <c r="U25" s="27">
        <v>680.0</v>
      </c>
      <c r="V25" s="27">
        <v>23.0</v>
      </c>
      <c r="W25" s="27">
        <v>5335.0</v>
      </c>
      <c r="X25" s="25" t="s">
        <v>165</v>
      </c>
    </row>
    <row r="26">
      <c r="A26" s="46">
        <v>25.0</v>
      </c>
      <c r="B26" s="7" t="s">
        <v>191</v>
      </c>
      <c r="C26" s="30" t="s">
        <v>192</v>
      </c>
      <c r="D26" s="24" t="s">
        <v>168</v>
      </c>
      <c r="E26" s="27" t="s">
        <v>193</v>
      </c>
      <c r="F26" s="30" t="s">
        <v>194</v>
      </c>
      <c r="G26" s="27">
        <v>588809.0</v>
      </c>
      <c r="H26" s="27">
        <v>440.0</v>
      </c>
      <c r="I26" s="27">
        <v>224000.0</v>
      </c>
      <c r="J26" s="27">
        <v>881.0</v>
      </c>
      <c r="K26" s="27">
        <v>13100.0</v>
      </c>
      <c r="L26" s="27">
        <v>47600.0</v>
      </c>
      <c r="M26" s="7" t="s">
        <v>195</v>
      </c>
      <c r="N26" s="30" t="s">
        <v>196</v>
      </c>
      <c r="O26" s="24" t="s">
        <v>168</v>
      </c>
      <c r="P26" s="27" t="s">
        <v>197</v>
      </c>
      <c r="Q26" s="23" t="s">
        <v>198</v>
      </c>
      <c r="R26" s="27">
        <v>136212.0</v>
      </c>
      <c r="S26" s="27">
        <v>49.0</v>
      </c>
      <c r="T26" s="27">
        <v>550751.0</v>
      </c>
      <c r="U26" s="27">
        <v>2899.0</v>
      </c>
      <c r="V26" s="27">
        <v>32.0</v>
      </c>
      <c r="W26" s="27">
        <v>103.0</v>
      </c>
      <c r="X26" s="25" t="s">
        <v>199</v>
      </c>
    </row>
    <row r="27">
      <c r="A27" s="46">
        <v>26.0</v>
      </c>
      <c r="B27" s="7" t="s">
        <v>200</v>
      </c>
      <c r="C27" s="30" t="s">
        <v>201</v>
      </c>
      <c r="D27" s="24" t="s">
        <v>168</v>
      </c>
      <c r="E27" s="25" t="s">
        <v>202</v>
      </c>
      <c r="F27" s="55" t="s">
        <v>203</v>
      </c>
      <c r="G27" s="27">
        <v>526485.0</v>
      </c>
      <c r="H27" s="27">
        <v>5548.0</v>
      </c>
      <c r="I27" s="27">
        <v>239000.0</v>
      </c>
      <c r="J27" s="27">
        <v>2152.0</v>
      </c>
      <c r="K27" s="27">
        <v>24.0</v>
      </c>
      <c r="L27" s="27">
        <v>1134.0</v>
      </c>
      <c r="M27" s="7" t="s">
        <v>204</v>
      </c>
      <c r="N27" s="30" t="s">
        <v>205</v>
      </c>
      <c r="O27" s="24" t="s">
        <v>168</v>
      </c>
      <c r="P27" s="27" t="s">
        <v>206</v>
      </c>
      <c r="Q27" s="30" t="s">
        <v>207</v>
      </c>
      <c r="R27" s="27">
        <v>1308382.0</v>
      </c>
      <c r="S27" s="27">
        <v>1355.0</v>
      </c>
      <c r="T27" s="27">
        <v>240178.0</v>
      </c>
      <c r="U27" s="27">
        <v>867.0</v>
      </c>
      <c r="V27" s="27">
        <v>15.0</v>
      </c>
      <c r="W27" s="27">
        <v>6112.0</v>
      </c>
      <c r="X27" s="25" t="s">
        <v>199</v>
      </c>
    </row>
    <row r="28">
      <c r="A28" s="46">
        <v>27.0</v>
      </c>
      <c r="B28" s="7" t="s">
        <v>208</v>
      </c>
      <c r="C28" s="30" t="s">
        <v>209</v>
      </c>
      <c r="D28" s="24" t="s">
        <v>168</v>
      </c>
      <c r="E28" s="25" t="s">
        <v>210</v>
      </c>
      <c r="F28" s="55" t="s">
        <v>211</v>
      </c>
      <c r="G28" s="27">
        <v>215178.0</v>
      </c>
      <c r="H28" s="27">
        <v>940.0</v>
      </c>
      <c r="I28" s="27">
        <v>5917.0</v>
      </c>
      <c r="J28" s="27">
        <v>115.0</v>
      </c>
      <c r="K28" s="27">
        <v>1.0</v>
      </c>
      <c r="L28" s="27">
        <v>1567.0</v>
      </c>
      <c r="M28" s="7" t="s">
        <v>212</v>
      </c>
      <c r="N28" s="30" t="s">
        <v>213</v>
      </c>
      <c r="O28" s="24" t="s">
        <v>168</v>
      </c>
      <c r="P28" s="27" t="s">
        <v>214</v>
      </c>
      <c r="Q28" s="23" t="s">
        <v>215</v>
      </c>
      <c r="R28" s="27">
        <v>77183.0</v>
      </c>
      <c r="S28" s="27">
        <v>103.0</v>
      </c>
      <c r="T28" s="27">
        <v>692868.0</v>
      </c>
      <c r="U28" s="27">
        <v>3161.0</v>
      </c>
      <c r="V28" s="27">
        <v>28400.0</v>
      </c>
      <c r="W28" s="27">
        <v>83700.0</v>
      </c>
      <c r="X28" s="25" t="s">
        <v>199</v>
      </c>
    </row>
    <row r="29">
      <c r="A29" s="46">
        <v>28.0</v>
      </c>
      <c r="B29" s="7" t="s">
        <v>216</v>
      </c>
      <c r="C29" s="30" t="s">
        <v>217</v>
      </c>
      <c r="D29" s="24" t="s">
        <v>38</v>
      </c>
      <c r="E29" s="25" t="s">
        <v>218</v>
      </c>
      <c r="F29" s="44" t="s">
        <v>219</v>
      </c>
      <c r="G29" s="27">
        <v>2242.0</v>
      </c>
      <c r="H29" s="27">
        <v>215.0</v>
      </c>
      <c r="I29" s="27">
        <v>502.0</v>
      </c>
      <c r="J29" s="27">
        <v>95.0</v>
      </c>
      <c r="K29" s="27">
        <v>9.0</v>
      </c>
      <c r="L29" s="27">
        <v>0.0</v>
      </c>
      <c r="M29" s="7" t="s">
        <v>220</v>
      </c>
      <c r="N29" s="30" t="s">
        <v>221</v>
      </c>
      <c r="O29" s="24" t="s">
        <v>168</v>
      </c>
      <c r="P29" s="27" t="s">
        <v>222</v>
      </c>
      <c r="Q29" s="23" t="s">
        <v>223</v>
      </c>
      <c r="R29" s="27">
        <v>18787.0</v>
      </c>
      <c r="S29" s="27">
        <v>433.0</v>
      </c>
      <c r="T29" s="27">
        <v>847.0</v>
      </c>
      <c r="U29" s="27">
        <v>141.0</v>
      </c>
      <c r="V29" s="27">
        <v>41.0</v>
      </c>
      <c r="W29" s="27">
        <v>187.0</v>
      </c>
      <c r="X29" s="25" t="s">
        <v>224</v>
      </c>
    </row>
    <row r="30">
      <c r="A30" s="46">
        <v>29.0</v>
      </c>
      <c r="B30" s="7" t="str">
        <f>IFERROR(__xludf.DUMMYFUNCTION("IFERROR(REGEXEXTRACT(C30,""instagram\.com/p/([^/]+)""),"""")"),"DPl8zFJCG_-")</f>
        <v>DPl8zFJCG_-</v>
      </c>
      <c r="C30" s="30" t="s">
        <v>225</v>
      </c>
      <c r="D30" s="24" t="s">
        <v>38</v>
      </c>
      <c r="E30" s="25" t="s">
        <v>226</v>
      </c>
      <c r="F30" s="44" t="s">
        <v>227</v>
      </c>
      <c r="G30" s="27">
        <v>79700.0</v>
      </c>
      <c r="H30" s="27">
        <v>361.0</v>
      </c>
      <c r="I30" s="27">
        <v>346200.0</v>
      </c>
      <c r="J30" s="27">
        <v>948.0</v>
      </c>
      <c r="K30" s="27">
        <v>24800.0</v>
      </c>
      <c r="L30" s="27">
        <v>72100.0</v>
      </c>
      <c r="M30" s="7" t="s">
        <v>228</v>
      </c>
      <c r="N30" s="30" t="s">
        <v>229</v>
      </c>
      <c r="O30" s="24" t="s">
        <v>38</v>
      </c>
      <c r="P30" s="27" t="s">
        <v>230</v>
      </c>
      <c r="Q30" s="23" t="s">
        <v>231</v>
      </c>
      <c r="R30" s="27">
        <v>390000.0</v>
      </c>
      <c r="S30" s="27">
        <v>7687.0</v>
      </c>
      <c r="T30" s="27">
        <v>7500.0</v>
      </c>
      <c r="U30" s="27">
        <v>33.0</v>
      </c>
      <c r="V30" s="27">
        <v>0.0</v>
      </c>
      <c r="W30" s="27">
        <v>0.0</v>
      </c>
      <c r="X30" s="25" t="s">
        <v>224</v>
      </c>
    </row>
    <row r="31">
      <c r="A31" s="46">
        <v>30.0</v>
      </c>
      <c r="B31" s="7" t="s">
        <v>232</v>
      </c>
      <c r="C31" s="30" t="s">
        <v>233</v>
      </c>
      <c r="D31" s="24" t="s">
        <v>168</v>
      </c>
      <c r="E31" s="25" t="s">
        <v>234</v>
      </c>
      <c r="F31" s="44" t="s">
        <v>235</v>
      </c>
      <c r="G31" s="27">
        <v>1466695.0</v>
      </c>
      <c r="H31" s="27">
        <v>797.0</v>
      </c>
      <c r="I31" s="27">
        <v>182492.0</v>
      </c>
      <c r="J31" s="27">
        <v>1047.0</v>
      </c>
      <c r="K31" s="27">
        <v>3.0</v>
      </c>
      <c r="L31" s="27">
        <v>0.0</v>
      </c>
      <c r="M31" s="7" t="s">
        <v>236</v>
      </c>
      <c r="N31" s="30" t="s">
        <v>237</v>
      </c>
      <c r="O31" s="24" t="s">
        <v>168</v>
      </c>
      <c r="P31" s="27" t="s">
        <v>238</v>
      </c>
      <c r="Q31" s="23" t="s">
        <v>239</v>
      </c>
      <c r="R31" s="27">
        <v>419000.0</v>
      </c>
      <c r="S31" s="27">
        <v>1331.0</v>
      </c>
      <c r="T31" s="27">
        <v>6809.0</v>
      </c>
      <c r="U31" s="27">
        <v>356.0</v>
      </c>
      <c r="V31" s="27">
        <v>278.0</v>
      </c>
      <c r="W31" s="27">
        <v>1874.0</v>
      </c>
      <c r="X31" s="25" t="s">
        <v>199</v>
      </c>
    </row>
    <row r="32">
      <c r="A32" s="58">
        <v>31.0</v>
      </c>
      <c r="B32" s="59" t="str">
        <f>IFERROR(__xludf.DUMMYFUNCTION("IFERROR(REGEXEXTRACT(C32,""instagram\.com/p/([^/]+)""),"""")"),"DMKbF9jiE18")</f>
        <v>DMKbF9jiE18</v>
      </c>
      <c r="C32" s="60" t="s">
        <v>240</v>
      </c>
      <c r="D32" s="61" t="s">
        <v>38</v>
      </c>
      <c r="E32" s="62" t="s">
        <v>241</v>
      </c>
      <c r="F32" s="63" t="s">
        <v>242</v>
      </c>
      <c r="G32" s="64">
        <v>60000.0</v>
      </c>
      <c r="H32" s="64">
        <v>3336.0</v>
      </c>
      <c r="I32" s="64">
        <v>15800.0</v>
      </c>
      <c r="J32" s="64">
        <v>115.0</v>
      </c>
      <c r="K32" s="65"/>
      <c r="L32" s="65"/>
      <c r="M32" s="59" t="str">
        <f>IFERROR(__xludf.DUMMYFUNCTION("IFERROR(REGEXEXTRACT(N32,""instagram\.com/p/([^/]+)""),"""")"),"DT2lgb4k5Qe")</f>
        <v>DT2lgb4k5Qe</v>
      </c>
      <c r="N32" s="60" t="s">
        <v>243</v>
      </c>
      <c r="O32" s="61" t="s">
        <v>38</v>
      </c>
      <c r="P32" s="64" t="s">
        <v>89</v>
      </c>
      <c r="Q32" s="60" t="s">
        <v>244</v>
      </c>
      <c r="R32" s="64">
        <v>286000.0</v>
      </c>
      <c r="S32" s="64">
        <v>499.0</v>
      </c>
      <c r="T32" s="64">
        <v>1200.0</v>
      </c>
      <c r="U32" s="64">
        <v>130.0</v>
      </c>
      <c r="V32" s="65"/>
      <c r="W32" s="65"/>
      <c r="X32" s="62" t="s">
        <v>245</v>
      </c>
    </row>
    <row r="33">
      <c r="A33" s="58">
        <v>32.0</v>
      </c>
      <c r="B33" s="7" t="str">
        <f>IFERROR(__xludf.DUMMYFUNCTION("IFERROR(REGEXEXTRACT(C33,""instagram\.com/p/([^/]+)""),"""")"),"DSQphyuDFC1")</f>
        <v>DSQphyuDFC1</v>
      </c>
      <c r="C33" s="23" t="s">
        <v>246</v>
      </c>
      <c r="D33" s="24" t="s">
        <v>38</v>
      </c>
      <c r="E33" s="25" t="s">
        <v>247</v>
      </c>
      <c r="F33" s="44" t="s">
        <v>248</v>
      </c>
      <c r="G33" s="27">
        <v>1937.0</v>
      </c>
      <c r="H33" s="27">
        <v>100.0</v>
      </c>
      <c r="I33" s="27">
        <v>2299.0</v>
      </c>
      <c r="J33" s="27">
        <v>24.0</v>
      </c>
      <c r="M33" s="7" t="str">
        <f>IFERROR(__xludf.DUMMYFUNCTION("IFERROR(REGEXEXTRACT(N33,""instagram\.com/p/([^/]+)""),"""")"),"DUlMAD2lRix")</f>
        <v>DUlMAD2lRix</v>
      </c>
      <c r="N33" s="23" t="s">
        <v>249</v>
      </c>
      <c r="O33" s="24" t="s">
        <v>38</v>
      </c>
      <c r="P33" s="27" t="s">
        <v>250</v>
      </c>
      <c r="Q33" s="23" t="s">
        <v>244</v>
      </c>
      <c r="R33" s="27">
        <v>70200.0</v>
      </c>
      <c r="S33" s="27">
        <v>230.0</v>
      </c>
      <c r="T33" s="27">
        <v>1200.0</v>
      </c>
      <c r="U33" s="27">
        <v>45.0</v>
      </c>
      <c r="X33" s="25" t="s">
        <v>251</v>
      </c>
    </row>
    <row r="34">
      <c r="A34" s="58">
        <v>33.0</v>
      </c>
      <c r="B34" s="7" t="str">
        <f>IFERROR(__xludf.DUMMYFUNCTION("IFERROR(REGEXEXTRACT(C34,""instagram\.com/p/([^/]+)""),"""")"),"C_aGVOMymRL")</f>
        <v>C_aGVOMymRL</v>
      </c>
      <c r="C34" s="23" t="s">
        <v>252</v>
      </c>
      <c r="D34" s="24" t="s">
        <v>38</v>
      </c>
      <c r="E34" s="25" t="s">
        <v>253</v>
      </c>
      <c r="F34" s="44" t="s">
        <v>254</v>
      </c>
      <c r="G34" s="27">
        <v>131000.0</v>
      </c>
      <c r="H34" s="27">
        <v>2149.0</v>
      </c>
      <c r="I34" s="27">
        <v>2823.0</v>
      </c>
      <c r="J34" s="27">
        <v>33.0</v>
      </c>
      <c r="M34" s="7" t="str">
        <f>IFERROR(__xludf.DUMMYFUNCTION("IFERROR(REGEXEXTRACT(N34,""instagram\.com/p/([^/]+)""),"""")"),"DTv9sJGjD7-")</f>
        <v>DTv9sJGjD7-</v>
      </c>
      <c r="N34" s="23" t="s">
        <v>255</v>
      </c>
      <c r="O34" s="24" t="s">
        <v>38</v>
      </c>
      <c r="P34" s="27" t="s">
        <v>256</v>
      </c>
      <c r="Q34" s="23" t="s">
        <v>164</v>
      </c>
      <c r="R34" s="27">
        <v>51500.0</v>
      </c>
      <c r="S34" s="27">
        <v>699.0</v>
      </c>
      <c r="T34" s="27">
        <v>719.0</v>
      </c>
      <c r="U34" s="27">
        <v>115.0</v>
      </c>
      <c r="X34" s="25" t="s">
        <v>257</v>
      </c>
    </row>
    <row r="35">
      <c r="A35" s="58">
        <v>34.0</v>
      </c>
      <c r="B35" s="7" t="str">
        <f>IFERROR(__xludf.DUMMYFUNCTION("IFERROR(REGEXEXTRACT(C35,""instagram\.com/p/([^/]+)""),"""")"),"DL41F9qgFZX")</f>
        <v>DL41F9qgFZX</v>
      </c>
      <c r="C35" s="23" t="s">
        <v>258</v>
      </c>
      <c r="D35" s="24" t="s">
        <v>38</v>
      </c>
      <c r="E35" s="27" t="s">
        <v>259</v>
      </c>
      <c r="F35" s="44" t="s">
        <v>260</v>
      </c>
      <c r="G35" s="27">
        <v>80900.0</v>
      </c>
      <c r="H35" s="27">
        <v>1345.0</v>
      </c>
      <c r="I35" s="27">
        <v>15300.0</v>
      </c>
      <c r="J35" s="27">
        <v>53.0</v>
      </c>
      <c r="M35" s="7" t="str">
        <f>IFERROR(__xludf.DUMMYFUNCTION("IFERROR(REGEXEXTRACT(N35,""instagram\.com/p/([^/]+)""),"""")"),"DR2OG7qEjMb")</f>
        <v>DR2OG7qEjMb</v>
      </c>
      <c r="N35" s="23" t="s">
        <v>261</v>
      </c>
      <c r="O35" s="24" t="s">
        <v>38</v>
      </c>
      <c r="P35" s="27" t="s">
        <v>262</v>
      </c>
      <c r="Q35" s="23" t="s">
        <v>263</v>
      </c>
      <c r="R35" s="27">
        <v>342000.0</v>
      </c>
      <c r="S35" s="27">
        <v>2196.0</v>
      </c>
      <c r="T35" s="27">
        <v>2500.0</v>
      </c>
      <c r="U35" s="27">
        <v>20.0</v>
      </c>
      <c r="X35" s="25" t="s">
        <v>264</v>
      </c>
    </row>
    <row r="36">
      <c r="A36" s="58">
        <v>35.0</v>
      </c>
      <c r="B36" s="7" t="str">
        <f>IFERROR(__xludf.DUMMYFUNCTION("IFERROR(REGEXEXTRACT(C36,""instagram\.com/p/([^/]+)""),"""")"),"DC40mMHy_a0")</f>
        <v>DC40mMHy_a0</v>
      </c>
      <c r="C36" s="23" t="s">
        <v>265</v>
      </c>
      <c r="D36" s="24" t="s">
        <v>38</v>
      </c>
      <c r="E36" s="25" t="s">
        <v>266</v>
      </c>
      <c r="F36" s="44" t="s">
        <v>267</v>
      </c>
      <c r="G36" s="27">
        <v>27700.0</v>
      </c>
      <c r="H36" s="27">
        <v>53.0</v>
      </c>
      <c r="I36" s="27">
        <v>17100.0</v>
      </c>
      <c r="J36" s="27">
        <v>125.0</v>
      </c>
      <c r="M36" s="7" t="str">
        <f>IFERROR(__xludf.DUMMYFUNCTION("IFERROR(REGEXEXTRACT(N36,""instagram\.com/p/([^/]+)""),"""")"),"DSLEWPjkgrL")</f>
        <v>DSLEWPjkgrL</v>
      </c>
      <c r="N36" s="23" t="s">
        <v>268</v>
      </c>
      <c r="O36" s="24" t="s">
        <v>38</v>
      </c>
      <c r="P36" s="27" t="s">
        <v>269</v>
      </c>
      <c r="Q36" s="23" t="s">
        <v>263</v>
      </c>
      <c r="R36" s="27">
        <v>342000.0</v>
      </c>
      <c r="S36" s="27">
        <v>2196.0</v>
      </c>
      <c r="T36" s="27">
        <v>2000.0</v>
      </c>
      <c r="U36" s="27">
        <v>28.0</v>
      </c>
      <c r="X36" s="25" t="s">
        <v>264</v>
      </c>
    </row>
    <row r="37">
      <c r="A37" s="58">
        <v>36.0</v>
      </c>
      <c r="B37" s="7" t="str">
        <f>IFERROR(__xludf.DUMMYFUNCTION("IFERROR(REGEXEXTRACT(C37,""instagram\.com/p/([^/]+)""),"""")"),"DSqevPEkjKs")</f>
        <v>DSqevPEkjKs</v>
      </c>
      <c r="C37" s="23" t="s">
        <v>270</v>
      </c>
      <c r="D37" s="24" t="s">
        <v>38</v>
      </c>
      <c r="E37" s="25" t="s">
        <v>271</v>
      </c>
      <c r="F37" s="44" t="s">
        <v>272</v>
      </c>
      <c r="G37" s="27">
        <v>77000.0</v>
      </c>
      <c r="H37" s="27">
        <v>124.0</v>
      </c>
      <c r="I37" s="27">
        <v>2568.0</v>
      </c>
      <c r="J37" s="27">
        <v>24.0</v>
      </c>
      <c r="M37" s="7" t="str">
        <f>IFERROR(__xludf.DUMMYFUNCTION("IFERROR(REGEXEXTRACT(N37,""instagram\.com/p/([^/]+)""),"""")"),"DR2Y8p9giTt")</f>
        <v>DR2Y8p9giTt</v>
      </c>
      <c r="N37" s="23" t="s">
        <v>273</v>
      </c>
      <c r="O37" s="24" t="s">
        <v>38</v>
      </c>
      <c r="P37" s="27" t="s">
        <v>274</v>
      </c>
      <c r="Q37" s="23" t="s">
        <v>275</v>
      </c>
      <c r="R37" s="27">
        <v>102000.0</v>
      </c>
      <c r="S37" s="27">
        <v>2250.0</v>
      </c>
      <c r="T37" s="27">
        <v>2300.0</v>
      </c>
      <c r="U37" s="27">
        <v>72.0</v>
      </c>
      <c r="X37" s="25" t="s">
        <v>276</v>
      </c>
    </row>
    <row r="38">
      <c r="A38" s="58">
        <v>37.0</v>
      </c>
      <c r="B38" s="7" t="s">
        <v>277</v>
      </c>
      <c r="C38" s="55" t="s">
        <v>278</v>
      </c>
      <c r="D38" s="24" t="s">
        <v>38</v>
      </c>
      <c r="E38" s="25" t="s">
        <v>279</v>
      </c>
      <c r="F38" s="57" t="s">
        <v>280</v>
      </c>
      <c r="G38" s="27">
        <v>15600.0</v>
      </c>
      <c r="H38" s="27">
        <v>564.0</v>
      </c>
      <c r="I38" s="27">
        <v>263.0</v>
      </c>
      <c r="J38" s="27">
        <v>14.0</v>
      </c>
      <c r="M38" s="7" t="str">
        <f>IFERROR(__xludf.DUMMYFUNCTION("IFERROR(REGEXEXTRACT(N38,""instagram\.com/p/([^/]+)""),"""")"),"DMV_EO1N3qS")</f>
        <v>DMV_EO1N3qS</v>
      </c>
      <c r="N38" s="23" t="s">
        <v>281</v>
      </c>
      <c r="O38" s="24" t="s">
        <v>38</v>
      </c>
      <c r="P38" s="27" t="s">
        <v>282</v>
      </c>
      <c r="Q38" s="23" t="s">
        <v>283</v>
      </c>
      <c r="R38" s="27">
        <v>32700.0</v>
      </c>
      <c r="S38" s="27">
        <v>469.0</v>
      </c>
      <c r="T38" s="27">
        <v>930.0</v>
      </c>
      <c r="U38" s="27">
        <v>31.0</v>
      </c>
      <c r="X38" s="25" t="s">
        <v>284</v>
      </c>
    </row>
    <row r="39">
      <c r="A39" s="58">
        <v>38.0</v>
      </c>
      <c r="B39" s="7" t="s">
        <v>285</v>
      </c>
      <c r="C39" s="55" t="s">
        <v>286</v>
      </c>
      <c r="D39" s="24" t="s">
        <v>38</v>
      </c>
      <c r="E39" s="25" t="s">
        <v>287</v>
      </c>
      <c r="F39" s="57" t="s">
        <v>288</v>
      </c>
      <c r="G39" s="27">
        <v>139000.0</v>
      </c>
      <c r="H39" s="27">
        <v>1956.0</v>
      </c>
      <c r="I39" s="27">
        <v>6026.0</v>
      </c>
      <c r="J39" s="27">
        <v>86.0</v>
      </c>
      <c r="M39" s="7" t="str">
        <f>IFERROR(__xludf.DUMMYFUNCTION("IFERROR(REGEXEXTRACT(N39,""instagram\.com/p/([^/]+)""),"""")"),"DQGSvs-DDyl")</f>
        <v>DQGSvs-DDyl</v>
      </c>
      <c r="N39" s="23" t="s">
        <v>289</v>
      </c>
      <c r="O39" s="24" t="s">
        <v>38</v>
      </c>
      <c r="P39" s="27" t="s">
        <v>290</v>
      </c>
      <c r="Q39" s="23" t="s">
        <v>291</v>
      </c>
      <c r="R39" s="27">
        <v>2603.0</v>
      </c>
      <c r="S39" s="27">
        <v>428.0</v>
      </c>
      <c r="T39" s="27">
        <v>92.0</v>
      </c>
      <c r="U39" s="27">
        <v>15.0</v>
      </c>
      <c r="X39" s="25" t="s">
        <v>292</v>
      </c>
    </row>
    <row r="40">
      <c r="A40" s="58">
        <v>39.0</v>
      </c>
      <c r="B40" s="7" t="str">
        <f>IFERROR(__xludf.DUMMYFUNCTION("IFERROR(REGEXEXTRACT(C40,""instagram\.com/p/([^/]+)""),"""")"),"CognJlkJbtU")</f>
        <v>CognJlkJbtU</v>
      </c>
      <c r="C40" s="23" t="s">
        <v>293</v>
      </c>
      <c r="D40" s="24" t="s">
        <v>38</v>
      </c>
      <c r="E40" s="25" t="s">
        <v>294</v>
      </c>
      <c r="F40" s="44" t="s">
        <v>295</v>
      </c>
      <c r="G40" s="27">
        <v>32700.0</v>
      </c>
      <c r="H40" s="27">
        <v>830.0</v>
      </c>
      <c r="I40" s="27">
        <v>242700.0</v>
      </c>
      <c r="J40" s="27">
        <v>479.0</v>
      </c>
      <c r="M40" s="7" t="str">
        <f>IFERROR(__xludf.DUMMYFUNCTION("IFERROR(REGEXEXTRACT(N40,""instagram\.com/p/([^/]+)""),"""")"),"DSad9F2jfva")</f>
        <v>DSad9F2jfva</v>
      </c>
      <c r="N40" s="23" t="s">
        <v>296</v>
      </c>
      <c r="O40" s="24" t="s">
        <v>38</v>
      </c>
      <c r="P40" s="27" t="s">
        <v>297</v>
      </c>
      <c r="Q40" s="23" t="s">
        <v>298</v>
      </c>
      <c r="R40" s="27">
        <v>45500.0</v>
      </c>
      <c r="S40" s="27">
        <v>3697.0</v>
      </c>
      <c r="T40" s="27">
        <v>36000.0</v>
      </c>
      <c r="U40" s="27">
        <v>392.0</v>
      </c>
      <c r="X40" s="25" t="s">
        <v>199</v>
      </c>
    </row>
    <row r="41">
      <c r="A41" s="58">
        <v>40.0</v>
      </c>
      <c r="B41" s="7" t="str">
        <f>IFERROR(__xludf.DUMMYFUNCTION("IFERROR(REGEXEXTRACT(C41,""instagram\.com/p/([^/]+)""),"""")"),"DPor_WlDO4I")</f>
        <v>DPor_WlDO4I</v>
      </c>
      <c r="C41" s="23" t="s">
        <v>299</v>
      </c>
      <c r="D41" s="24" t="s">
        <v>38</v>
      </c>
      <c r="E41" s="25" t="s">
        <v>300</v>
      </c>
      <c r="F41" s="44" t="s">
        <v>301</v>
      </c>
      <c r="G41" s="27">
        <v>21400.0</v>
      </c>
      <c r="H41" s="27">
        <v>200.0</v>
      </c>
      <c r="I41" s="27">
        <v>4300.0</v>
      </c>
      <c r="J41" s="27">
        <v>302.0</v>
      </c>
      <c r="M41" s="7" t="str">
        <f>IFERROR(__xludf.DUMMYFUNCTION("IFERROR(REGEXEXTRACT(N41,""instagram\.com/p/([^/]+)""),"""")"),"DSlL18bDEhJ")</f>
        <v>DSlL18bDEhJ</v>
      </c>
      <c r="N41" s="23" t="s">
        <v>302</v>
      </c>
      <c r="O41" s="24" t="s">
        <v>38</v>
      </c>
      <c r="P41" s="27" t="s">
        <v>300</v>
      </c>
      <c r="Q41" s="23" t="s">
        <v>291</v>
      </c>
      <c r="R41" s="27">
        <v>51500.0</v>
      </c>
      <c r="S41" s="27">
        <v>699.0</v>
      </c>
      <c r="T41" s="27">
        <v>2700.0</v>
      </c>
      <c r="U41" s="27">
        <v>187.0</v>
      </c>
      <c r="X41" s="25" t="s">
        <v>303</v>
      </c>
    </row>
  </sheetData>
  <hyperlinks>
    <hyperlink r:id="rId1" ref="C2"/>
    <hyperlink r:id="rId2" ref="N2"/>
    <hyperlink r:id="rId3" ref="Q2"/>
    <hyperlink r:id="rId4" ref="C3"/>
    <hyperlink r:id="rId5" ref="N3"/>
    <hyperlink r:id="rId6" ref="Q3"/>
    <hyperlink r:id="rId7" ref="C4"/>
    <hyperlink r:id="rId8" ref="N4"/>
    <hyperlink r:id="rId9" ref="Q4"/>
    <hyperlink r:id="rId10" ref="C5"/>
    <hyperlink r:id="rId11" ref="N5"/>
    <hyperlink r:id="rId12" ref="Q5"/>
    <hyperlink r:id="rId13" ref="C6"/>
    <hyperlink r:id="rId14" ref="N6"/>
    <hyperlink r:id="rId15" ref="Q6"/>
    <hyperlink r:id="rId16" ref="C7"/>
    <hyperlink r:id="rId17" ref="N7"/>
    <hyperlink r:id="rId18" ref="Q7"/>
    <hyperlink r:id="rId19" ref="C8"/>
    <hyperlink r:id="rId20" ref="N8"/>
    <hyperlink r:id="rId21" ref="Q8"/>
    <hyperlink r:id="rId22" ref="C9"/>
    <hyperlink r:id="rId23" ref="N9"/>
    <hyperlink r:id="rId24" ref="Q9"/>
    <hyperlink r:id="rId25" ref="C10"/>
    <hyperlink r:id="rId26" ref="F10"/>
    <hyperlink r:id="rId27" ref="N10"/>
    <hyperlink r:id="rId28" ref="Q10"/>
    <hyperlink r:id="rId29" ref="C11"/>
    <hyperlink r:id="rId30" ref="N11"/>
    <hyperlink r:id="rId31" ref="Q11"/>
    <hyperlink r:id="rId32" ref="C12"/>
    <hyperlink r:id="rId33" ref="F12"/>
    <hyperlink r:id="rId34" ref="N12"/>
    <hyperlink r:id="rId35" ref="Q12"/>
    <hyperlink r:id="rId36" ref="C13"/>
    <hyperlink r:id="rId37" ref="F13"/>
    <hyperlink r:id="rId38" ref="N13"/>
    <hyperlink r:id="rId39" ref="Q13"/>
    <hyperlink r:id="rId40" ref="C14"/>
    <hyperlink r:id="rId41" ref="F14"/>
    <hyperlink r:id="rId42" ref="N14"/>
    <hyperlink r:id="rId43" ref="Q14"/>
    <hyperlink r:id="rId44" ref="C15"/>
    <hyperlink r:id="rId45" ref="F15"/>
    <hyperlink r:id="rId46" ref="N15"/>
    <hyperlink r:id="rId47" ref="Q15"/>
    <hyperlink r:id="rId48" ref="C16"/>
    <hyperlink r:id="rId49" ref="F16"/>
    <hyperlink r:id="rId50" ref="N16"/>
    <hyperlink r:id="rId51" ref="Q16"/>
    <hyperlink r:id="rId52" ref="C17"/>
    <hyperlink r:id="rId53" ref="F17"/>
    <hyperlink r:id="rId54" ref="N17"/>
    <hyperlink r:id="rId55" ref="Q17"/>
    <hyperlink r:id="rId56" ref="C18"/>
    <hyperlink r:id="rId57" ref="F18"/>
    <hyperlink r:id="rId58" ref="N18"/>
    <hyperlink r:id="rId59" ref="Q18"/>
    <hyperlink r:id="rId60" ref="C19"/>
    <hyperlink r:id="rId61" ref="F19"/>
    <hyperlink r:id="rId62" ref="N19"/>
    <hyperlink r:id="rId63" ref="Q19"/>
    <hyperlink r:id="rId64" ref="C20"/>
    <hyperlink r:id="rId65" ref="F20"/>
    <hyperlink r:id="rId66" ref="N20"/>
    <hyperlink r:id="rId67" ref="Q20"/>
    <hyperlink r:id="rId68" ref="C21"/>
    <hyperlink r:id="rId69" ref="F21"/>
    <hyperlink r:id="rId70" ref="N21"/>
    <hyperlink r:id="rId71" ref="Q21"/>
    <hyperlink r:id="rId72" ref="C22"/>
    <hyperlink r:id="rId73" ref="F22"/>
    <hyperlink r:id="rId74" ref="N22"/>
    <hyperlink r:id="rId75" ref="Q22"/>
    <hyperlink r:id="rId76" ref="C23"/>
    <hyperlink r:id="rId77" ref="F23"/>
    <hyperlink r:id="rId78" ref="N23"/>
    <hyperlink r:id="rId79" ref="Q23"/>
    <hyperlink r:id="rId80" ref="C24"/>
    <hyperlink r:id="rId81" ref="F24"/>
    <hyperlink r:id="rId82" ref="N24"/>
    <hyperlink r:id="rId83" ref="Q24"/>
    <hyperlink r:id="rId84" ref="C25"/>
    <hyperlink r:id="rId85" ref="F25"/>
    <hyperlink r:id="rId86" ref="N25"/>
    <hyperlink r:id="rId87" ref="Q25"/>
    <hyperlink r:id="rId88" ref="C26"/>
    <hyperlink r:id="rId89" ref="F26"/>
    <hyperlink r:id="rId90" ref="N26"/>
    <hyperlink r:id="rId91" ref="Q26"/>
    <hyperlink r:id="rId92" ref="C27"/>
    <hyperlink r:id="rId93" ref="F27"/>
    <hyperlink r:id="rId94" ref="N27"/>
    <hyperlink r:id="rId95" ref="Q27"/>
    <hyperlink r:id="rId96" ref="C28"/>
    <hyperlink r:id="rId97" ref="F28"/>
    <hyperlink r:id="rId98" ref="N28"/>
    <hyperlink r:id="rId99" ref="Q28"/>
    <hyperlink r:id="rId100" ref="C29"/>
    <hyperlink r:id="rId101" ref="F29"/>
    <hyperlink r:id="rId102" ref="N29"/>
    <hyperlink r:id="rId103" ref="Q29"/>
    <hyperlink r:id="rId104" ref="C30"/>
    <hyperlink r:id="rId105" ref="F30"/>
    <hyperlink r:id="rId106" ref="N30"/>
    <hyperlink r:id="rId107" ref="Q30"/>
    <hyperlink r:id="rId108" ref="C31"/>
    <hyperlink r:id="rId109" ref="F31"/>
    <hyperlink r:id="rId110" ref="N31"/>
    <hyperlink r:id="rId111" ref="Q31"/>
    <hyperlink r:id="rId112" ref="C32"/>
    <hyperlink r:id="rId113" ref="F32"/>
    <hyperlink r:id="rId114" ref="N32"/>
    <hyperlink r:id="rId115" ref="Q32"/>
    <hyperlink r:id="rId116" ref="C33"/>
    <hyperlink r:id="rId117" ref="F33"/>
    <hyperlink r:id="rId118" ref="N33"/>
    <hyperlink r:id="rId119" ref="Q33"/>
    <hyperlink r:id="rId120" ref="C34"/>
    <hyperlink r:id="rId121" ref="F34"/>
    <hyperlink r:id="rId122" ref="N34"/>
    <hyperlink r:id="rId123" ref="Q34"/>
    <hyperlink r:id="rId124" ref="C35"/>
    <hyperlink r:id="rId125" ref="F35"/>
    <hyperlink r:id="rId126" ref="N35"/>
    <hyperlink r:id="rId127" ref="Q35"/>
    <hyperlink r:id="rId128" ref="C36"/>
    <hyperlink r:id="rId129" ref="F36"/>
    <hyperlink r:id="rId130" ref="N36"/>
    <hyperlink r:id="rId131" ref="Q36"/>
    <hyperlink r:id="rId132" ref="C37"/>
    <hyperlink r:id="rId133" ref="F37"/>
    <hyperlink r:id="rId134" ref="N37"/>
    <hyperlink r:id="rId135" ref="Q37"/>
    <hyperlink r:id="rId136" ref="C38"/>
    <hyperlink r:id="rId137" ref="F38"/>
    <hyperlink r:id="rId138" ref="N38"/>
    <hyperlink r:id="rId139" ref="Q38"/>
    <hyperlink r:id="rId140" ref="C39"/>
    <hyperlink r:id="rId141" ref="F39"/>
    <hyperlink r:id="rId142" ref="N39"/>
    <hyperlink r:id="rId143" ref="Q39"/>
    <hyperlink r:id="rId144" ref="C40"/>
    <hyperlink r:id="rId145" ref="F40"/>
    <hyperlink r:id="rId146" ref="N40"/>
    <hyperlink r:id="rId147" ref="Q40"/>
    <hyperlink r:id="rId148" ref="C41"/>
    <hyperlink r:id="rId149" ref="F41"/>
    <hyperlink r:id="rId150" ref="N41"/>
    <hyperlink r:id="rId151" ref="Q41"/>
  </hyperlinks>
  <drawing r:id="rId1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s>
  <sheetData>
    <row r="1">
      <c r="A1" s="66" t="s">
        <v>304</v>
      </c>
      <c r="B1" s="67">
        <v>1.0</v>
      </c>
      <c r="C1" s="67">
        <v>2.0</v>
      </c>
      <c r="D1" s="67">
        <v>3.0</v>
      </c>
      <c r="E1" s="67">
        <v>4.0</v>
      </c>
      <c r="F1" s="67">
        <v>5.0</v>
      </c>
      <c r="G1" s="67">
        <v>6.0</v>
      </c>
      <c r="H1" s="67">
        <v>7.0</v>
      </c>
      <c r="I1" s="67">
        <v>8.0</v>
      </c>
      <c r="J1" s="67">
        <v>9.0</v>
      </c>
      <c r="K1" s="67">
        <v>10.0</v>
      </c>
      <c r="L1" s="67">
        <v>11.0</v>
      </c>
      <c r="M1" s="67">
        <v>12.0</v>
      </c>
      <c r="N1" s="67">
        <v>13.0</v>
      </c>
      <c r="O1" s="67">
        <v>14.0</v>
      </c>
      <c r="P1" s="67">
        <v>15.0</v>
      </c>
      <c r="Q1" s="67">
        <v>16.0</v>
      </c>
      <c r="R1" s="67">
        <v>17.0</v>
      </c>
      <c r="S1" s="67">
        <v>18.0</v>
      </c>
      <c r="T1" s="67">
        <v>19.0</v>
      </c>
      <c r="U1" s="67">
        <v>20.0</v>
      </c>
      <c r="V1" s="67">
        <v>21.0</v>
      </c>
      <c r="W1" s="67">
        <v>22.0</v>
      </c>
      <c r="X1" s="67">
        <v>23.0</v>
      </c>
      <c r="Y1" s="67">
        <v>24.0</v>
      </c>
      <c r="Z1" s="67">
        <v>25.0</v>
      </c>
      <c r="AA1" s="67">
        <v>26.0</v>
      </c>
      <c r="AB1" s="67">
        <v>27.0</v>
      </c>
      <c r="AC1" s="67">
        <v>28.0</v>
      </c>
      <c r="AD1" s="67">
        <v>29.0</v>
      </c>
      <c r="AE1" s="67">
        <v>30.0</v>
      </c>
      <c r="AF1" s="67">
        <v>31.0</v>
      </c>
      <c r="AG1" s="67">
        <v>32.0</v>
      </c>
      <c r="AH1" s="67">
        <v>33.0</v>
      </c>
      <c r="AI1" s="67">
        <v>34.0</v>
      </c>
      <c r="AJ1" s="67">
        <v>35.0</v>
      </c>
      <c r="AK1" s="67">
        <v>36.0</v>
      </c>
      <c r="AL1" s="67">
        <v>37.0</v>
      </c>
      <c r="AM1" s="67">
        <v>38.0</v>
      </c>
      <c r="AN1" s="67">
        <v>39.0</v>
      </c>
      <c r="AO1" s="67">
        <v>40.0</v>
      </c>
      <c r="AP1" s="67">
        <v>41.0</v>
      </c>
      <c r="AQ1" s="67">
        <v>42.0</v>
      </c>
      <c r="AR1" s="67">
        <v>43.0</v>
      </c>
      <c r="AS1" s="67">
        <v>44.0</v>
      </c>
      <c r="AT1" s="67">
        <v>45.0</v>
      </c>
      <c r="AU1" s="67">
        <v>46.0</v>
      </c>
      <c r="AV1" s="67">
        <v>47.0</v>
      </c>
      <c r="AW1" s="67">
        <v>48.0</v>
      </c>
      <c r="AX1" s="67">
        <v>49.0</v>
      </c>
      <c r="AY1" s="67">
        <v>50.0</v>
      </c>
      <c r="AZ1" s="67">
        <v>51.0</v>
      </c>
    </row>
    <row r="2">
      <c r="A2" s="68" t="str">
        <f t="array" ref="A2:A41">Posts_Primary!M2:M999</f>
        <v>C-44eycs1H5</v>
      </c>
      <c r="B2" s="69" t="s">
        <v>305</v>
      </c>
      <c r="C2" s="69" t="s">
        <v>306</v>
      </c>
      <c r="D2" s="69" t="s">
        <v>307</v>
      </c>
      <c r="E2" s="69" t="s">
        <v>308</v>
      </c>
      <c r="F2" s="69" t="s">
        <v>309</v>
      </c>
      <c r="G2" s="69" t="s">
        <v>310</v>
      </c>
      <c r="H2" s="69" t="s">
        <v>311</v>
      </c>
      <c r="I2" s="69" t="s">
        <v>312</v>
      </c>
      <c r="J2" s="69" t="s">
        <v>313</v>
      </c>
      <c r="K2" s="69" t="s">
        <v>314</v>
      </c>
      <c r="L2" s="69" t="s">
        <v>315</v>
      </c>
      <c r="M2" s="70" t="s">
        <v>316</v>
      </c>
      <c r="N2" s="70" t="s">
        <v>317</v>
      </c>
      <c r="O2" s="70" t="s">
        <v>318</v>
      </c>
      <c r="P2" s="70" t="s">
        <v>319</v>
      </c>
      <c r="Q2" s="70" t="s">
        <v>320</v>
      </c>
      <c r="R2" s="70" t="s">
        <v>321</v>
      </c>
      <c r="S2" s="70" t="s">
        <v>322</v>
      </c>
      <c r="T2" s="70" t="s">
        <v>323</v>
      </c>
      <c r="U2" s="70" t="s">
        <v>324</v>
      </c>
      <c r="V2" s="70" t="s">
        <v>325</v>
      </c>
      <c r="W2" s="70" t="s">
        <v>326</v>
      </c>
      <c r="X2" s="70" t="s">
        <v>327</v>
      </c>
      <c r="Y2" s="70" t="s">
        <v>328</v>
      </c>
      <c r="Z2" s="70" t="s">
        <v>329</v>
      </c>
      <c r="AA2" s="70" t="s">
        <v>330</v>
      </c>
      <c r="AB2" s="70" t="s">
        <v>331</v>
      </c>
      <c r="AC2" s="70" t="s">
        <v>332</v>
      </c>
      <c r="AD2" s="70" t="s">
        <v>333</v>
      </c>
      <c r="AE2" s="70" t="s">
        <v>334</v>
      </c>
      <c r="AF2" s="70" t="s">
        <v>335</v>
      </c>
      <c r="AG2" s="70" t="s">
        <v>336</v>
      </c>
      <c r="AH2" s="70" t="s">
        <v>337</v>
      </c>
      <c r="AI2" s="70" t="s">
        <v>338</v>
      </c>
      <c r="AJ2" s="70" t="s">
        <v>339</v>
      </c>
      <c r="AK2" s="70" t="s">
        <v>340</v>
      </c>
      <c r="AL2" s="70" t="s">
        <v>341</v>
      </c>
      <c r="AM2" s="70" t="s">
        <v>342</v>
      </c>
      <c r="AN2" s="70" t="s">
        <v>343</v>
      </c>
      <c r="AO2" s="70" t="s">
        <v>344</v>
      </c>
      <c r="AP2" s="70" t="s">
        <v>345</v>
      </c>
      <c r="AQ2" s="70" t="s">
        <v>346</v>
      </c>
      <c r="AR2" s="70" t="s">
        <v>347</v>
      </c>
      <c r="AS2" s="70" t="s">
        <v>348</v>
      </c>
      <c r="AT2" s="70" t="s">
        <v>349</v>
      </c>
      <c r="AU2" s="70" t="s">
        <v>350</v>
      </c>
      <c r="AV2" s="70" t="s">
        <v>351</v>
      </c>
      <c r="AW2" s="70" t="s">
        <v>352</v>
      </c>
      <c r="AX2" s="70" t="s">
        <v>353</v>
      </c>
      <c r="AY2" s="70" t="s">
        <v>354</v>
      </c>
      <c r="AZ2" s="2"/>
    </row>
    <row r="3">
      <c r="A3" s="71" t="s">
        <v>355</v>
      </c>
      <c r="B3" s="69" t="s">
        <v>356</v>
      </c>
      <c r="C3" s="69" t="s">
        <v>357</v>
      </c>
      <c r="D3" s="69" t="s">
        <v>358</v>
      </c>
      <c r="E3" s="69" t="s">
        <v>359</v>
      </c>
      <c r="F3" s="69" t="s">
        <v>326</v>
      </c>
      <c r="G3" s="69" t="s">
        <v>360</v>
      </c>
      <c r="H3" s="69" t="s">
        <v>361</v>
      </c>
      <c r="I3" s="69" t="s">
        <v>334</v>
      </c>
      <c r="J3" s="69" t="s">
        <v>362</v>
      </c>
      <c r="K3" s="69" t="s">
        <v>363</v>
      </c>
      <c r="L3" s="69" t="s">
        <v>364</v>
      </c>
      <c r="M3" s="69" t="s">
        <v>365</v>
      </c>
      <c r="N3" s="69" t="s">
        <v>336</v>
      </c>
      <c r="O3" s="69" t="s">
        <v>366</v>
      </c>
      <c r="P3" s="69" t="s">
        <v>367</v>
      </c>
      <c r="Q3" s="69" t="s">
        <v>368</v>
      </c>
      <c r="R3" s="69" t="s">
        <v>369</v>
      </c>
      <c r="S3" s="69" t="s">
        <v>370</v>
      </c>
      <c r="T3" s="69" t="s">
        <v>335</v>
      </c>
      <c r="U3" s="69" t="s">
        <v>311</v>
      </c>
      <c r="V3" s="69" t="s">
        <v>318</v>
      </c>
      <c r="W3" s="69" t="s">
        <v>371</v>
      </c>
      <c r="X3" s="69" t="s">
        <v>372</v>
      </c>
      <c r="Y3" s="69" t="s">
        <v>373</v>
      </c>
      <c r="Z3" s="69" t="s">
        <v>374</v>
      </c>
      <c r="AA3" s="69" t="s">
        <v>375</v>
      </c>
      <c r="AB3" s="69" t="s">
        <v>376</v>
      </c>
      <c r="AC3" s="69" t="s">
        <v>377</v>
      </c>
      <c r="AD3" s="69" t="s">
        <v>378</v>
      </c>
      <c r="AE3" s="69" t="s">
        <v>379</v>
      </c>
      <c r="AF3" s="69" t="s">
        <v>380</v>
      </c>
      <c r="AG3" s="69" t="s">
        <v>381</v>
      </c>
      <c r="AH3" s="69" t="s">
        <v>382</v>
      </c>
      <c r="AI3" s="69" t="s">
        <v>383</v>
      </c>
      <c r="AJ3" s="69" t="s">
        <v>384</v>
      </c>
      <c r="AK3" s="69" t="s">
        <v>385</v>
      </c>
      <c r="AL3" s="69" t="s">
        <v>386</v>
      </c>
      <c r="AM3" s="69" t="s">
        <v>387</v>
      </c>
      <c r="AN3" s="69" t="s">
        <v>388</v>
      </c>
      <c r="AO3" s="69" t="s">
        <v>338</v>
      </c>
      <c r="AP3" s="69" t="s">
        <v>389</v>
      </c>
      <c r="AQ3" s="69" t="s">
        <v>390</v>
      </c>
      <c r="AR3" s="69" t="s">
        <v>391</v>
      </c>
      <c r="AS3" s="69" t="s">
        <v>392</v>
      </c>
      <c r="AT3" s="69" t="s">
        <v>393</v>
      </c>
      <c r="AU3" s="69" t="s">
        <v>394</v>
      </c>
      <c r="AV3" s="69" t="s">
        <v>395</v>
      </c>
      <c r="AW3" s="69" t="s">
        <v>396</v>
      </c>
      <c r="AX3" s="69" t="s">
        <v>397</v>
      </c>
      <c r="AY3" s="69" t="s">
        <v>398</v>
      </c>
      <c r="AZ3" s="72"/>
    </row>
    <row r="4">
      <c r="A4" s="71" t="s">
        <v>399</v>
      </c>
      <c r="B4" s="69" t="s">
        <v>400</v>
      </c>
      <c r="C4" s="69" t="s">
        <v>401</v>
      </c>
      <c r="D4" s="69" t="s">
        <v>402</v>
      </c>
      <c r="E4" s="69" t="s">
        <v>403</v>
      </c>
      <c r="F4" s="69" t="s">
        <v>404</v>
      </c>
      <c r="G4" s="69" t="s">
        <v>405</v>
      </c>
      <c r="H4" s="69" t="s">
        <v>406</v>
      </c>
      <c r="I4" s="69" t="s">
        <v>407</v>
      </c>
      <c r="J4" s="69" t="s">
        <v>408</v>
      </c>
      <c r="K4" s="69" t="s">
        <v>409</v>
      </c>
      <c r="L4" s="69" t="s">
        <v>410</v>
      </c>
      <c r="M4" s="69" t="s">
        <v>411</v>
      </c>
      <c r="N4" s="69" t="s">
        <v>412</v>
      </c>
      <c r="O4" s="69" t="s">
        <v>413</v>
      </c>
      <c r="P4" s="69" t="s">
        <v>414</v>
      </c>
      <c r="Q4" s="69" t="s">
        <v>415</v>
      </c>
      <c r="R4" s="69" t="s">
        <v>416</v>
      </c>
      <c r="S4" s="69" t="s">
        <v>417</v>
      </c>
      <c r="T4" s="69" t="s">
        <v>418</v>
      </c>
      <c r="U4" s="69" t="s">
        <v>419</v>
      </c>
      <c r="V4" s="69" t="s">
        <v>420</v>
      </c>
      <c r="W4" s="69" t="s">
        <v>421</v>
      </c>
      <c r="X4" s="69" t="s">
        <v>422</v>
      </c>
      <c r="Y4" s="69" t="s">
        <v>423</v>
      </c>
      <c r="Z4" s="69" t="s">
        <v>424</v>
      </c>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69" t="s">
        <v>425</v>
      </c>
    </row>
    <row r="5">
      <c r="A5" s="71" t="s">
        <v>426</v>
      </c>
      <c r="B5" s="69" t="s">
        <v>336</v>
      </c>
      <c r="C5" s="69" t="s">
        <v>427</v>
      </c>
      <c r="D5" s="69" t="s">
        <v>428</v>
      </c>
      <c r="E5" s="69" t="s">
        <v>342</v>
      </c>
      <c r="F5" s="69" t="s">
        <v>429</v>
      </c>
      <c r="G5" s="69" t="s">
        <v>338</v>
      </c>
      <c r="H5" s="69" t="s">
        <v>430</v>
      </c>
      <c r="I5" s="69" t="s">
        <v>317</v>
      </c>
      <c r="J5" s="69" t="s">
        <v>431</v>
      </c>
      <c r="K5" s="69" t="s">
        <v>432</v>
      </c>
      <c r="L5" s="69" t="s">
        <v>433</v>
      </c>
      <c r="M5" s="69" t="s">
        <v>421</v>
      </c>
      <c r="N5" s="69" t="s">
        <v>434</v>
      </c>
      <c r="O5" s="70" t="s">
        <v>339</v>
      </c>
      <c r="P5" s="70" t="s">
        <v>318</v>
      </c>
      <c r="Q5" s="70" t="s">
        <v>326</v>
      </c>
      <c r="R5" s="70" t="s">
        <v>435</v>
      </c>
      <c r="S5" s="70" t="s">
        <v>436</v>
      </c>
      <c r="T5" s="70" t="s">
        <v>437</v>
      </c>
      <c r="U5" s="70" t="s">
        <v>438</v>
      </c>
      <c r="V5" s="70" t="s">
        <v>439</v>
      </c>
      <c r="W5" s="70" t="s">
        <v>440</v>
      </c>
      <c r="X5" s="70" t="s">
        <v>441</v>
      </c>
      <c r="Y5" s="70" t="s">
        <v>442</v>
      </c>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c r="A6" s="71" t="s">
        <v>443</v>
      </c>
      <c r="B6" s="70" t="s">
        <v>444</v>
      </c>
      <c r="C6" s="70" t="s">
        <v>445</v>
      </c>
      <c r="D6" s="70" t="s">
        <v>446</v>
      </c>
      <c r="E6" s="70" t="s">
        <v>447</v>
      </c>
      <c r="F6" s="70" t="s">
        <v>336</v>
      </c>
      <c r="G6" s="70" t="s">
        <v>382</v>
      </c>
      <c r="H6" s="70" t="s">
        <v>448</v>
      </c>
      <c r="I6" s="70" t="s">
        <v>449</v>
      </c>
      <c r="J6" s="70" t="s">
        <v>450</v>
      </c>
      <c r="K6" s="70" t="s">
        <v>451</v>
      </c>
      <c r="L6" s="70" t="s">
        <v>452</v>
      </c>
      <c r="M6" s="70" t="s">
        <v>453</v>
      </c>
      <c r="N6" s="70" t="s">
        <v>454</v>
      </c>
      <c r="O6" s="70" t="s">
        <v>455</v>
      </c>
      <c r="P6" s="70" t="s">
        <v>456</v>
      </c>
      <c r="Q6" s="70" t="s">
        <v>457</v>
      </c>
      <c r="R6" s="70" t="s">
        <v>458</v>
      </c>
      <c r="S6" s="70" t="s">
        <v>459</v>
      </c>
      <c r="T6" s="70" t="s">
        <v>460</v>
      </c>
      <c r="U6" s="70" t="s">
        <v>461</v>
      </c>
      <c r="V6" s="70" t="s">
        <v>462</v>
      </c>
      <c r="W6" s="70" t="s">
        <v>424</v>
      </c>
      <c r="X6" s="70" t="s">
        <v>463</v>
      </c>
      <c r="Y6" s="70" t="s">
        <v>464</v>
      </c>
      <c r="Z6" s="70" t="s">
        <v>465</v>
      </c>
      <c r="AA6" s="70" t="s">
        <v>329</v>
      </c>
      <c r="AB6" s="70" t="s">
        <v>466</v>
      </c>
      <c r="AC6" s="70" t="s">
        <v>467</v>
      </c>
      <c r="AD6" s="70" t="s">
        <v>468</v>
      </c>
      <c r="AE6" s="70" t="s">
        <v>469</v>
      </c>
      <c r="AF6" s="70" t="s">
        <v>470</v>
      </c>
      <c r="AG6" s="70" t="s">
        <v>471</v>
      </c>
      <c r="AH6" s="70" t="s">
        <v>472</v>
      </c>
      <c r="AI6" s="70" t="s">
        <v>473</v>
      </c>
      <c r="AJ6" s="70" t="s">
        <v>327</v>
      </c>
      <c r="AK6" s="70" t="s">
        <v>474</v>
      </c>
      <c r="AL6" s="70" t="s">
        <v>475</v>
      </c>
      <c r="AM6" s="70" t="s">
        <v>338</v>
      </c>
      <c r="AN6" s="70" t="s">
        <v>326</v>
      </c>
      <c r="AO6" s="70" t="s">
        <v>476</v>
      </c>
      <c r="AP6" s="70" t="s">
        <v>477</v>
      </c>
      <c r="AQ6" s="70" t="s">
        <v>478</v>
      </c>
      <c r="AR6" s="70" t="s">
        <v>333</v>
      </c>
      <c r="AS6" s="70" t="s">
        <v>479</v>
      </c>
      <c r="AT6" s="70" t="s">
        <v>317</v>
      </c>
      <c r="AU6" s="70" t="s">
        <v>318</v>
      </c>
      <c r="AV6" s="70" t="s">
        <v>480</v>
      </c>
      <c r="AW6" s="70" t="s">
        <v>481</v>
      </c>
      <c r="AX6" s="70" t="s">
        <v>482</v>
      </c>
      <c r="AY6" s="70" t="s">
        <v>483</v>
      </c>
      <c r="AZ6" s="2"/>
    </row>
    <row r="7">
      <c r="A7" s="71" t="s">
        <v>484</v>
      </c>
      <c r="B7" s="70" t="s">
        <v>485</v>
      </c>
      <c r="C7" s="70" t="s">
        <v>486</v>
      </c>
      <c r="D7" s="70" t="s">
        <v>487</v>
      </c>
      <c r="E7" s="70" t="s">
        <v>488</v>
      </c>
      <c r="F7" s="70" t="s">
        <v>489</v>
      </c>
      <c r="G7" s="70" t="s">
        <v>490</v>
      </c>
      <c r="H7" s="70" t="s">
        <v>336</v>
      </c>
      <c r="I7" s="70" t="s">
        <v>491</v>
      </c>
      <c r="J7" s="70" t="s">
        <v>492</v>
      </c>
      <c r="K7" s="70" t="s">
        <v>493</v>
      </c>
      <c r="L7" s="70" t="s">
        <v>468</v>
      </c>
      <c r="M7" s="70" t="s">
        <v>494</v>
      </c>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c r="A8" s="71" t="s">
        <v>495</v>
      </c>
      <c r="B8" s="69" t="s">
        <v>496</v>
      </c>
      <c r="C8" s="70" t="s">
        <v>421</v>
      </c>
      <c r="D8" s="70" t="s">
        <v>326</v>
      </c>
      <c r="E8" s="70" t="s">
        <v>497</v>
      </c>
      <c r="F8" s="70" t="s">
        <v>498</v>
      </c>
      <c r="G8" s="70" t="s">
        <v>499</v>
      </c>
      <c r="H8" s="70" t="s">
        <v>338</v>
      </c>
      <c r="I8" s="70" t="s">
        <v>339</v>
      </c>
      <c r="J8" s="70" t="s">
        <v>500</v>
      </c>
      <c r="K8" s="69" t="s">
        <v>501</v>
      </c>
      <c r="L8" s="70" t="s">
        <v>502</v>
      </c>
      <c r="M8" s="70" t="s">
        <v>503</v>
      </c>
      <c r="N8" s="70" t="s">
        <v>504</v>
      </c>
      <c r="O8" s="70" t="s">
        <v>505</v>
      </c>
      <c r="P8" s="70" t="s">
        <v>506</v>
      </c>
      <c r="Q8" s="70" t="s">
        <v>507</v>
      </c>
      <c r="R8" s="70" t="s">
        <v>508</v>
      </c>
      <c r="S8" s="70" t="s">
        <v>509</v>
      </c>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c r="A9" s="71" t="s">
        <v>510</v>
      </c>
      <c r="B9" s="69" t="s">
        <v>511</v>
      </c>
      <c r="C9" s="70" t="s">
        <v>338</v>
      </c>
      <c r="D9" s="70" t="s">
        <v>336</v>
      </c>
      <c r="E9" s="70" t="s">
        <v>342</v>
      </c>
      <c r="F9" s="70" t="s">
        <v>512</v>
      </c>
      <c r="G9" s="70" t="s">
        <v>335</v>
      </c>
      <c r="H9" s="70" t="s">
        <v>513</v>
      </c>
      <c r="I9" s="70" t="s">
        <v>318</v>
      </c>
      <c r="J9" s="70" t="s">
        <v>514</v>
      </c>
      <c r="K9" s="69" t="s">
        <v>515</v>
      </c>
      <c r="L9" s="70" t="s">
        <v>516</v>
      </c>
      <c r="M9" s="70" t="s">
        <v>517</v>
      </c>
      <c r="N9" s="70" t="s">
        <v>518</v>
      </c>
      <c r="O9" s="70" t="s">
        <v>497</v>
      </c>
      <c r="P9" s="70" t="s">
        <v>519</v>
      </c>
      <c r="Q9" s="70" t="s">
        <v>520</v>
      </c>
      <c r="R9" s="70" t="s">
        <v>521</v>
      </c>
      <c r="S9" s="70" t="s">
        <v>468</v>
      </c>
      <c r="T9" s="70" t="s">
        <v>522</v>
      </c>
      <c r="U9" s="70" t="s">
        <v>523</v>
      </c>
      <c r="V9" s="70" t="s">
        <v>524</v>
      </c>
      <c r="W9" s="70" t="s">
        <v>525</v>
      </c>
      <c r="X9" s="70" t="s">
        <v>526</v>
      </c>
      <c r="Y9" s="70" t="s">
        <v>474</v>
      </c>
      <c r="Z9" s="70" t="s">
        <v>527</v>
      </c>
      <c r="AA9" s="70" t="s">
        <v>528</v>
      </c>
      <c r="AB9" s="70" t="s">
        <v>529</v>
      </c>
      <c r="AC9" s="70" t="s">
        <v>424</v>
      </c>
      <c r="AD9" s="70" t="s">
        <v>530</v>
      </c>
      <c r="AE9" s="70" t="s">
        <v>531</v>
      </c>
      <c r="AF9" s="70" t="s">
        <v>317</v>
      </c>
      <c r="AG9" s="70" t="s">
        <v>483</v>
      </c>
      <c r="AH9" s="70" t="s">
        <v>532</v>
      </c>
      <c r="AI9" s="70" t="s">
        <v>533</v>
      </c>
      <c r="AJ9" s="70" t="s">
        <v>534</v>
      </c>
      <c r="AK9" s="70" t="s">
        <v>535</v>
      </c>
      <c r="AL9" s="70" t="s">
        <v>536</v>
      </c>
      <c r="AM9" s="70" t="s">
        <v>537</v>
      </c>
      <c r="AN9" s="70" t="s">
        <v>538</v>
      </c>
      <c r="AO9" s="70" t="s">
        <v>539</v>
      </c>
      <c r="AP9" s="70" t="s">
        <v>333</v>
      </c>
      <c r="AQ9" s="70" t="s">
        <v>540</v>
      </c>
      <c r="AR9" s="70" t="s">
        <v>541</v>
      </c>
      <c r="AS9" s="70" t="s">
        <v>542</v>
      </c>
      <c r="AT9" s="70" t="s">
        <v>543</v>
      </c>
      <c r="AU9" s="70" t="s">
        <v>544</v>
      </c>
      <c r="AV9" s="2"/>
      <c r="AW9" s="2"/>
      <c r="AX9" s="2"/>
      <c r="AY9" s="2"/>
      <c r="AZ9" s="2"/>
    </row>
    <row r="10">
      <c r="A10" s="71" t="s">
        <v>545</v>
      </c>
      <c r="B10" s="69" t="s">
        <v>338</v>
      </c>
      <c r="C10" s="69" t="s">
        <v>546</v>
      </c>
      <c r="D10" s="69" t="s">
        <v>547</v>
      </c>
      <c r="E10" s="69" t="s">
        <v>548</v>
      </c>
      <c r="F10" s="69" t="s">
        <v>549</v>
      </c>
      <c r="G10" s="72"/>
      <c r="H10" s="72"/>
      <c r="I10" s="72"/>
      <c r="J10" s="72"/>
      <c r="K10" s="72"/>
      <c r="L10" s="72"/>
      <c r="M10" s="72"/>
      <c r="N10" s="72"/>
      <c r="O10" s="72"/>
      <c r="P10" s="72"/>
      <c r="Q10" s="72"/>
      <c r="R10" s="72"/>
      <c r="S10" s="72"/>
      <c r="T10" s="72"/>
      <c r="U10" s="72"/>
      <c r="V10" s="72"/>
      <c r="W10" s="72"/>
      <c r="X10" s="72"/>
      <c r="Y10" s="72"/>
      <c r="Z10" s="72"/>
      <c r="AA10" s="72"/>
      <c r="AB10" s="72"/>
      <c r="AC10" s="2"/>
      <c r="AD10" s="2"/>
      <c r="AE10" s="2"/>
      <c r="AF10" s="2"/>
      <c r="AG10" s="2"/>
      <c r="AH10" s="2"/>
      <c r="AI10" s="2"/>
      <c r="AJ10" s="2"/>
      <c r="AK10" s="2"/>
      <c r="AL10" s="2"/>
      <c r="AM10" s="2"/>
      <c r="AN10" s="2"/>
      <c r="AO10" s="2"/>
      <c r="AP10" s="2"/>
      <c r="AQ10" s="2"/>
      <c r="AR10" s="2"/>
      <c r="AS10" s="2"/>
      <c r="AT10" s="2"/>
      <c r="AU10" s="2"/>
      <c r="AV10" s="2"/>
      <c r="AW10" s="2"/>
      <c r="AX10" s="2"/>
      <c r="AY10" s="2"/>
      <c r="AZ10" s="2"/>
    </row>
    <row r="11">
      <c r="A11" s="71" t="s">
        <v>550</v>
      </c>
      <c r="B11" s="70" t="s">
        <v>468</v>
      </c>
      <c r="C11" s="70" t="s">
        <v>551</v>
      </c>
      <c r="D11" s="70" t="s">
        <v>552</v>
      </c>
      <c r="E11" s="70" t="s">
        <v>553</v>
      </c>
      <c r="F11" s="70" t="s">
        <v>554</v>
      </c>
      <c r="G11" s="70" t="s">
        <v>555</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c r="A12" s="71" t="s">
        <v>556</v>
      </c>
      <c r="B12" s="2" t="s">
        <v>557</v>
      </c>
      <c r="C12" s="2" t="s">
        <v>558</v>
      </c>
      <c r="D12" s="2" t="s">
        <v>338</v>
      </c>
      <c r="E12" s="2"/>
      <c r="F12" s="2" t="s">
        <v>559</v>
      </c>
      <c r="G12" s="2" t="s">
        <v>560</v>
      </c>
      <c r="H12" s="2" t="s">
        <v>561</v>
      </c>
      <c r="I12" s="2"/>
      <c r="J12" s="2"/>
      <c r="K12" s="2" t="s">
        <v>562</v>
      </c>
      <c r="L12" s="2" t="s">
        <v>563</v>
      </c>
      <c r="M12" s="2" t="s">
        <v>333</v>
      </c>
      <c r="N12" s="2" t="s">
        <v>342</v>
      </c>
      <c r="O12" s="2" t="s">
        <v>564</v>
      </c>
      <c r="P12" s="2" t="s">
        <v>565</v>
      </c>
      <c r="Q12" s="2" t="s">
        <v>318</v>
      </c>
      <c r="R12" s="2" t="s">
        <v>566</v>
      </c>
      <c r="S12" s="2"/>
      <c r="T12" s="73" t="s">
        <v>567</v>
      </c>
      <c r="U12" s="2"/>
      <c r="V12" s="2" t="s">
        <v>497</v>
      </c>
      <c r="W12" s="2" t="s">
        <v>568</v>
      </c>
      <c r="X12" s="2" t="s">
        <v>333</v>
      </c>
      <c r="Y12" s="2" t="s">
        <v>569</v>
      </c>
      <c r="Z12" s="2" t="s">
        <v>333</v>
      </c>
      <c r="AA12" s="2" t="s">
        <v>520</v>
      </c>
      <c r="AB12" s="2" t="s">
        <v>570</v>
      </c>
      <c r="AC12" s="2" t="s">
        <v>338</v>
      </c>
      <c r="AD12" s="2" t="s">
        <v>474</v>
      </c>
      <c r="AE12" s="2" t="s">
        <v>571</v>
      </c>
      <c r="AF12" s="2" t="s">
        <v>572</v>
      </c>
      <c r="AG12" s="2" t="s">
        <v>333</v>
      </c>
      <c r="AH12" s="2" t="s">
        <v>573</v>
      </c>
      <c r="AI12" s="2" t="s">
        <v>574</v>
      </c>
      <c r="AJ12" s="2" t="s">
        <v>318</v>
      </c>
      <c r="AK12" s="2" t="s">
        <v>342</v>
      </c>
      <c r="AL12" s="2" t="s">
        <v>575</v>
      </c>
      <c r="AM12" s="2" t="s">
        <v>336</v>
      </c>
      <c r="AN12" s="2" t="s">
        <v>576</v>
      </c>
      <c r="AO12" s="2" t="s">
        <v>577</v>
      </c>
      <c r="AP12" s="2" t="s">
        <v>578</v>
      </c>
      <c r="AQ12" s="2" t="s">
        <v>342</v>
      </c>
      <c r="AR12" s="73" t="s">
        <v>579</v>
      </c>
      <c r="AS12" s="73" t="s">
        <v>580</v>
      </c>
      <c r="AT12" s="2" t="s">
        <v>335</v>
      </c>
      <c r="AU12" s="2" t="s">
        <v>333</v>
      </c>
      <c r="AV12" s="2" t="s">
        <v>581</v>
      </c>
      <c r="AW12" s="2" t="s">
        <v>582</v>
      </c>
      <c r="AX12" s="2" t="s">
        <v>333</v>
      </c>
      <c r="AY12" s="2" t="s">
        <v>338</v>
      </c>
      <c r="AZ12" s="74"/>
    </row>
    <row r="13">
      <c r="A13" s="71" t="s">
        <v>583</v>
      </c>
      <c r="B13" s="2" t="s">
        <v>584</v>
      </c>
      <c r="C13" s="2" t="s">
        <v>585</v>
      </c>
      <c r="D13" s="2" t="s">
        <v>586</v>
      </c>
      <c r="E13" s="2" t="s">
        <v>587</v>
      </c>
      <c r="F13" s="2" t="s">
        <v>588</v>
      </c>
      <c r="G13" s="2" t="s">
        <v>589</v>
      </c>
      <c r="H13" s="2" t="s">
        <v>590</v>
      </c>
      <c r="I13" s="2" t="s">
        <v>591</v>
      </c>
      <c r="J13" s="2" t="s">
        <v>592</v>
      </c>
      <c r="K13" s="2" t="s">
        <v>593</v>
      </c>
      <c r="L13" s="2" t="s">
        <v>594</v>
      </c>
      <c r="M13" s="2" t="s">
        <v>595</v>
      </c>
      <c r="N13" s="2"/>
      <c r="O13" s="2"/>
      <c r="P13" s="2"/>
      <c r="Q13" s="2"/>
      <c r="R13" s="2"/>
      <c r="S13" s="2"/>
      <c r="T13" s="2"/>
      <c r="U13" s="2"/>
      <c r="V13" s="2"/>
      <c r="W13" s="2"/>
      <c r="X13" s="2"/>
      <c r="Y13" s="2"/>
      <c r="Z13" s="2"/>
      <c r="AA13" s="2"/>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row>
    <row r="14">
      <c r="A14" s="71" t="s">
        <v>596</v>
      </c>
      <c r="B14" s="2" t="s">
        <v>597</v>
      </c>
      <c r="C14" s="2" t="s">
        <v>598</v>
      </c>
      <c r="D14" s="2" t="s">
        <v>324</v>
      </c>
      <c r="E14" s="2" t="s">
        <v>599</v>
      </c>
      <c r="F14" s="2" t="s">
        <v>600</v>
      </c>
      <c r="G14" s="2" t="s">
        <v>601</v>
      </c>
      <c r="H14" s="2" t="s">
        <v>602</v>
      </c>
      <c r="I14" s="2" t="s">
        <v>603</v>
      </c>
      <c r="J14" s="2" t="s">
        <v>604</v>
      </c>
      <c r="K14" s="2" t="s">
        <v>605</v>
      </c>
      <c r="L14" s="2" t="s">
        <v>606</v>
      </c>
      <c r="M14" s="2" t="s">
        <v>607</v>
      </c>
      <c r="N14" s="2" t="s">
        <v>608</v>
      </c>
      <c r="O14" s="2" t="s">
        <v>609</v>
      </c>
      <c r="P14" s="2" t="s">
        <v>610</v>
      </c>
      <c r="Q14" s="2" t="s">
        <v>611</v>
      </c>
      <c r="R14" s="2" t="s">
        <v>612</v>
      </c>
      <c r="S14" s="2" t="s">
        <v>613</v>
      </c>
      <c r="T14" s="2" t="s">
        <v>614</v>
      </c>
      <c r="U14" s="2" t="s">
        <v>615</v>
      </c>
      <c r="V14" s="2" t="s">
        <v>616</v>
      </c>
      <c r="W14" s="2" t="s">
        <v>617</v>
      </c>
      <c r="X14" s="2" t="s">
        <v>618</v>
      </c>
      <c r="Y14" s="2" t="s">
        <v>619</v>
      </c>
      <c r="Z14" s="2" t="s">
        <v>448</v>
      </c>
      <c r="AA14" s="2" t="s">
        <v>620</v>
      </c>
      <c r="AB14" s="2" t="s">
        <v>621</v>
      </c>
      <c r="AC14" s="2" t="s">
        <v>622</v>
      </c>
      <c r="AD14" s="2" t="s">
        <v>623</v>
      </c>
      <c r="AE14" s="2" t="s">
        <v>326</v>
      </c>
      <c r="AF14" s="2" t="s">
        <v>624</v>
      </c>
      <c r="AG14" s="2" t="s">
        <v>625</v>
      </c>
      <c r="AH14" s="2" t="s">
        <v>626</v>
      </c>
      <c r="AI14" s="2" t="s">
        <v>627</v>
      </c>
      <c r="AJ14" s="2" t="s">
        <v>628</v>
      </c>
      <c r="AK14" s="2" t="s">
        <v>629</v>
      </c>
      <c r="AL14" s="2" t="s">
        <v>630</v>
      </c>
      <c r="AM14" s="2" t="s">
        <v>631</v>
      </c>
      <c r="AN14" s="2" t="s">
        <v>632</v>
      </c>
      <c r="AO14" s="2" t="s">
        <v>633</v>
      </c>
      <c r="AP14" s="2" t="s">
        <v>634</v>
      </c>
      <c r="AQ14" s="2" t="s">
        <v>635</v>
      </c>
      <c r="AR14" s="2" t="s">
        <v>636</v>
      </c>
      <c r="AS14" s="2" t="s">
        <v>637</v>
      </c>
      <c r="AT14" s="2" t="s">
        <v>638</v>
      </c>
      <c r="AU14" s="2" t="s">
        <v>474</v>
      </c>
      <c r="AV14" s="2" t="s">
        <v>639</v>
      </c>
      <c r="AW14" s="2" t="s">
        <v>640</v>
      </c>
      <c r="AX14" s="74"/>
      <c r="AY14" s="74"/>
      <c r="AZ14" s="74"/>
    </row>
    <row r="15">
      <c r="A15" s="71" t="s">
        <v>641</v>
      </c>
      <c r="B15" s="2"/>
      <c r="C15" s="2" t="s">
        <v>642</v>
      </c>
      <c r="D15" s="2" t="s">
        <v>643</v>
      </c>
      <c r="E15" s="2" t="s">
        <v>644</v>
      </c>
      <c r="F15" s="2" t="s">
        <v>333</v>
      </c>
      <c r="G15" s="2" t="s">
        <v>645</v>
      </c>
      <c r="H15" s="2" t="s">
        <v>338</v>
      </c>
      <c r="I15" s="2" t="s">
        <v>339</v>
      </c>
      <c r="J15" s="2" t="s">
        <v>318</v>
      </c>
      <c r="K15" s="2" t="s">
        <v>339</v>
      </c>
      <c r="L15" s="2" t="s">
        <v>342</v>
      </c>
      <c r="M15" s="2" t="s">
        <v>318</v>
      </c>
      <c r="N15" s="2" t="s">
        <v>646</v>
      </c>
      <c r="O15" s="2" t="s">
        <v>647</v>
      </c>
      <c r="P15" s="2" t="s">
        <v>648</v>
      </c>
      <c r="Q15" s="2" t="s">
        <v>649</v>
      </c>
      <c r="R15" s="2" t="s">
        <v>650</v>
      </c>
      <c r="S15" s="2" t="s">
        <v>651</v>
      </c>
      <c r="T15" s="2" t="s">
        <v>652</v>
      </c>
      <c r="U15" s="2" t="s">
        <v>653</v>
      </c>
      <c r="V15" s="2" t="s">
        <v>317</v>
      </c>
      <c r="W15" s="2" t="s">
        <v>654</v>
      </c>
      <c r="X15" s="2" t="s">
        <v>655</v>
      </c>
      <c r="Y15" s="2" t="s">
        <v>656</v>
      </c>
      <c r="Z15" s="2" t="s">
        <v>657</v>
      </c>
      <c r="AA15" s="2" t="s">
        <v>658</v>
      </c>
      <c r="AB15" s="2" t="s">
        <v>659</v>
      </c>
      <c r="AC15" s="2" t="s">
        <v>336</v>
      </c>
      <c r="AD15" s="2" t="s">
        <v>660</v>
      </c>
      <c r="AE15" s="2" t="s">
        <v>661</v>
      </c>
      <c r="AF15" s="2" t="s">
        <v>311</v>
      </c>
      <c r="AG15" s="2" t="s">
        <v>333</v>
      </c>
      <c r="AH15" s="2" t="s">
        <v>318</v>
      </c>
      <c r="AI15" s="2" t="s">
        <v>468</v>
      </c>
      <c r="AJ15" s="2" t="s">
        <v>662</v>
      </c>
      <c r="AK15" s="2" t="s">
        <v>663</v>
      </c>
      <c r="AL15" s="2" t="s">
        <v>458</v>
      </c>
      <c r="AM15" s="2" t="s">
        <v>664</v>
      </c>
      <c r="AN15" s="2" t="s">
        <v>665</v>
      </c>
      <c r="AO15" s="2" t="s">
        <v>666</v>
      </c>
      <c r="AP15" s="2" t="s">
        <v>667</v>
      </c>
      <c r="AQ15" s="2" t="s">
        <v>668</v>
      </c>
      <c r="AR15" s="2" t="s">
        <v>669</v>
      </c>
      <c r="AS15" s="2" t="s">
        <v>350</v>
      </c>
      <c r="AT15" s="2" t="s">
        <v>448</v>
      </c>
      <c r="AU15" s="2" t="s">
        <v>350</v>
      </c>
      <c r="AV15" s="74"/>
      <c r="AW15" s="74"/>
      <c r="AX15" s="74"/>
      <c r="AY15" s="74"/>
      <c r="AZ15" s="74"/>
    </row>
    <row r="16">
      <c r="A16" s="71" t="s">
        <v>670</v>
      </c>
      <c r="B16" s="2" t="s">
        <v>326</v>
      </c>
      <c r="C16" s="2" t="s">
        <v>671</v>
      </c>
      <c r="D16" s="2" t="s">
        <v>672</v>
      </c>
      <c r="E16" s="2" t="s">
        <v>673</v>
      </c>
      <c r="F16" s="2" t="s">
        <v>514</v>
      </c>
      <c r="G16" s="2" t="s">
        <v>674</v>
      </c>
      <c r="H16" s="2" t="s">
        <v>675</v>
      </c>
      <c r="I16" s="2" t="s">
        <v>676</v>
      </c>
      <c r="J16" s="2" t="s">
        <v>677</v>
      </c>
      <c r="K16" s="2" t="s">
        <v>678</v>
      </c>
      <c r="L16" s="2"/>
      <c r="M16" s="2"/>
      <c r="N16" s="2"/>
      <c r="O16" s="2"/>
      <c r="P16" s="2"/>
      <c r="Q16" s="2"/>
      <c r="R16" s="2"/>
      <c r="S16" s="2"/>
      <c r="T16" s="2"/>
      <c r="U16" s="2"/>
      <c r="V16" s="2"/>
      <c r="W16" s="2"/>
      <c r="X16" s="2"/>
      <c r="Y16" s="2"/>
      <c r="Z16" s="2"/>
      <c r="AA16" s="2"/>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row>
    <row r="17">
      <c r="A17" s="71" t="s">
        <v>679</v>
      </c>
      <c r="B17" s="2" t="s">
        <v>326</v>
      </c>
      <c r="C17" s="2" t="s">
        <v>680</v>
      </c>
      <c r="D17" s="2"/>
      <c r="E17" s="2" t="s">
        <v>681</v>
      </c>
      <c r="F17" s="2" t="s">
        <v>682</v>
      </c>
      <c r="G17" s="2" t="s">
        <v>683</v>
      </c>
      <c r="H17" s="2" t="s">
        <v>684</v>
      </c>
      <c r="I17" s="2" t="s">
        <v>483</v>
      </c>
      <c r="J17" s="2" t="s">
        <v>685</v>
      </c>
      <c r="K17" s="2" t="s">
        <v>554</v>
      </c>
      <c r="L17" s="2" t="s">
        <v>686</v>
      </c>
      <c r="M17" s="2" t="s">
        <v>687</v>
      </c>
      <c r="N17" s="2" t="s">
        <v>688</v>
      </c>
      <c r="O17" s="2" t="s">
        <v>689</v>
      </c>
      <c r="P17" s="2" t="s">
        <v>326</v>
      </c>
      <c r="Q17" s="2" t="s">
        <v>690</v>
      </c>
      <c r="R17" s="2" t="s">
        <v>691</v>
      </c>
      <c r="S17" s="2" t="s">
        <v>692</v>
      </c>
      <c r="T17" s="2" t="s">
        <v>693</v>
      </c>
      <c r="U17" s="2" t="s">
        <v>694</v>
      </c>
      <c r="V17" s="2" t="s">
        <v>695</v>
      </c>
      <c r="W17" s="2" t="s">
        <v>696</v>
      </c>
      <c r="X17" s="2"/>
      <c r="Y17" s="2" t="s">
        <v>697</v>
      </c>
      <c r="Z17" s="2" t="s">
        <v>483</v>
      </c>
      <c r="AA17" s="2" t="s">
        <v>698</v>
      </c>
      <c r="AB17" s="2" t="s">
        <v>699</v>
      </c>
      <c r="AC17" s="2" t="s">
        <v>318</v>
      </c>
      <c r="AD17" s="2" t="s">
        <v>700</v>
      </c>
      <c r="AE17" s="2" t="s">
        <v>336</v>
      </c>
      <c r="AF17" s="2" t="s">
        <v>701</v>
      </c>
      <c r="AG17" s="2" t="s">
        <v>702</v>
      </c>
      <c r="AH17" s="2" t="s">
        <v>703</v>
      </c>
      <c r="AI17" s="74"/>
      <c r="AJ17" s="74"/>
      <c r="AK17" s="74"/>
      <c r="AL17" s="74"/>
      <c r="AM17" s="74"/>
      <c r="AN17" s="74"/>
      <c r="AO17" s="74"/>
      <c r="AP17" s="74"/>
      <c r="AQ17" s="74"/>
      <c r="AR17" s="74"/>
      <c r="AS17" s="74"/>
      <c r="AT17" s="74"/>
      <c r="AU17" s="74"/>
      <c r="AV17" s="74"/>
      <c r="AW17" s="74"/>
      <c r="AX17" s="74"/>
      <c r="AY17" s="74"/>
      <c r="AZ17" s="74"/>
    </row>
    <row r="18">
      <c r="A18" s="71" t="s">
        <v>704</v>
      </c>
      <c r="B18" s="2" t="s">
        <v>705</v>
      </c>
      <c r="C18" s="2" t="s">
        <v>318</v>
      </c>
      <c r="D18" s="2" t="s">
        <v>706</v>
      </c>
      <c r="E18" s="2" t="s">
        <v>309</v>
      </c>
      <c r="F18" s="2" t="s">
        <v>318</v>
      </c>
      <c r="G18" s="2" t="s">
        <v>342</v>
      </c>
      <c r="H18" s="2" t="s">
        <v>707</v>
      </c>
      <c r="I18" s="2" t="s">
        <v>708</v>
      </c>
      <c r="J18" s="2" t="s">
        <v>709</v>
      </c>
      <c r="K18" s="2" t="s">
        <v>710</v>
      </c>
      <c r="L18" s="2" t="s">
        <v>711</v>
      </c>
      <c r="M18" s="2" t="s">
        <v>712</v>
      </c>
      <c r="N18" s="2" t="s">
        <v>713</v>
      </c>
      <c r="O18" s="2" t="s">
        <v>338</v>
      </c>
      <c r="P18" s="2" t="s">
        <v>714</v>
      </c>
      <c r="Q18" s="2" t="s">
        <v>715</v>
      </c>
      <c r="R18" s="2" t="s">
        <v>716</v>
      </c>
      <c r="S18" s="2" t="s">
        <v>339</v>
      </c>
      <c r="T18" s="2" t="s">
        <v>471</v>
      </c>
      <c r="U18" s="2"/>
      <c r="V18" s="2"/>
      <c r="W18" s="2"/>
      <c r="X18" s="2"/>
      <c r="Y18" s="2"/>
      <c r="Z18" s="2"/>
      <c r="AA18" s="2"/>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row>
    <row r="19">
      <c r="A19" s="71" t="s">
        <v>717</v>
      </c>
      <c r="B19" s="2" t="s">
        <v>718</v>
      </c>
      <c r="C19" s="2" t="s">
        <v>719</v>
      </c>
      <c r="D19" s="2" t="s">
        <v>720</v>
      </c>
      <c r="E19" s="2" t="s">
        <v>721</v>
      </c>
      <c r="F19" s="2" t="s">
        <v>722</v>
      </c>
      <c r="G19" s="2" t="s">
        <v>723</v>
      </c>
      <c r="H19" s="2" t="s">
        <v>724</v>
      </c>
      <c r="I19" s="2" t="s">
        <v>725</v>
      </c>
      <c r="J19" s="2" t="s">
        <v>726</v>
      </c>
      <c r="K19" s="2" t="s">
        <v>342</v>
      </c>
      <c r="L19" s="2" t="s">
        <v>727</v>
      </c>
      <c r="M19" s="2" t="s">
        <v>728</v>
      </c>
      <c r="N19" s="2" t="s">
        <v>729</v>
      </c>
      <c r="O19" s="2" t="s">
        <v>730</v>
      </c>
      <c r="P19" s="2" t="s">
        <v>731</v>
      </c>
      <c r="Q19" s="2" t="s">
        <v>732</v>
      </c>
      <c r="R19" s="2" t="s">
        <v>733</v>
      </c>
      <c r="S19" s="2"/>
      <c r="T19" s="2" t="s">
        <v>734</v>
      </c>
      <c r="U19" s="2" t="s">
        <v>326</v>
      </c>
      <c r="V19" s="2" t="s">
        <v>382</v>
      </c>
      <c r="W19" s="2" t="s">
        <v>339</v>
      </c>
      <c r="X19" s="2" t="s">
        <v>326</v>
      </c>
      <c r="Y19" s="2" t="s">
        <v>338</v>
      </c>
      <c r="Z19" s="2" t="s">
        <v>483</v>
      </c>
      <c r="AA19" s="2" t="s">
        <v>338</v>
      </c>
      <c r="AB19" s="2" t="s">
        <v>326</v>
      </c>
      <c r="AC19" s="2" t="s">
        <v>497</v>
      </c>
      <c r="AD19" s="2" t="s">
        <v>474</v>
      </c>
      <c r="AE19" s="2" t="s">
        <v>735</v>
      </c>
      <c r="AF19" s="2" t="s">
        <v>736</v>
      </c>
      <c r="AG19" s="2" t="s">
        <v>737</v>
      </c>
      <c r="AH19" s="2" t="s">
        <v>738</v>
      </c>
      <c r="AI19" s="2" t="s">
        <v>739</v>
      </c>
      <c r="AJ19" s="74"/>
      <c r="AK19" s="74"/>
      <c r="AL19" s="74"/>
      <c r="AM19" s="74"/>
      <c r="AN19" s="74"/>
      <c r="AO19" s="74"/>
      <c r="AP19" s="74"/>
      <c r="AQ19" s="74"/>
      <c r="AR19" s="74"/>
      <c r="AS19" s="74"/>
      <c r="AT19" s="74"/>
      <c r="AU19" s="74"/>
      <c r="AV19" s="74"/>
      <c r="AW19" s="74"/>
      <c r="AX19" s="74"/>
      <c r="AY19" s="74"/>
      <c r="AZ19" s="74"/>
    </row>
    <row r="20">
      <c r="A20" s="71" t="s">
        <v>740</v>
      </c>
      <c r="B20" s="2" t="s">
        <v>465</v>
      </c>
      <c r="C20" s="2" t="s">
        <v>342</v>
      </c>
      <c r="D20" s="2" t="s">
        <v>497</v>
      </c>
      <c r="E20" s="2" t="s">
        <v>741</v>
      </c>
      <c r="F20" s="2" t="s">
        <v>742</v>
      </c>
      <c r="G20" s="2" t="s">
        <v>743</v>
      </c>
      <c r="H20" s="2" t="s">
        <v>744</v>
      </c>
      <c r="I20" s="2" t="s">
        <v>745</v>
      </c>
      <c r="J20" s="2"/>
      <c r="K20" s="2"/>
      <c r="L20" s="2"/>
      <c r="M20" s="2"/>
      <c r="N20" s="2"/>
      <c r="O20" s="2"/>
      <c r="P20" s="2"/>
      <c r="Q20" s="2"/>
      <c r="R20" s="2"/>
      <c r="S20" s="2"/>
      <c r="T20" s="2"/>
      <c r="U20" s="2"/>
      <c r="V20" s="2"/>
      <c r="W20" s="2"/>
      <c r="X20" s="2"/>
      <c r="Y20" s="2"/>
      <c r="Z20" s="2"/>
      <c r="AA20" s="2"/>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row>
    <row r="21">
      <c r="A21" s="71" t="s">
        <v>746</v>
      </c>
      <c r="B21" s="2" t="s">
        <v>336</v>
      </c>
      <c r="C21" s="2" t="s">
        <v>747</v>
      </c>
      <c r="D21" s="2" t="s">
        <v>748</v>
      </c>
      <c r="E21" s="2" t="s">
        <v>749</v>
      </c>
      <c r="F21" s="2" t="s">
        <v>750</v>
      </c>
      <c r="G21" s="2" t="s">
        <v>751</v>
      </c>
      <c r="H21" s="2" t="s">
        <v>752</v>
      </c>
      <c r="I21" s="2" t="s">
        <v>753</v>
      </c>
      <c r="J21" s="2" t="s">
        <v>754</v>
      </c>
      <c r="K21" s="2" t="s">
        <v>755</v>
      </c>
      <c r="L21" s="2" t="s">
        <v>756</v>
      </c>
      <c r="M21" s="2" t="s">
        <v>757</v>
      </c>
      <c r="N21" s="2"/>
      <c r="O21" s="2"/>
      <c r="P21" s="2"/>
      <c r="Q21" s="2"/>
      <c r="R21" s="2"/>
      <c r="S21" s="2"/>
      <c r="T21" s="2"/>
      <c r="U21" s="2"/>
      <c r="V21" s="2"/>
      <c r="W21" s="2"/>
      <c r="X21" s="2"/>
      <c r="Y21" s="2"/>
      <c r="Z21" s="2"/>
      <c r="AA21" s="2"/>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row>
    <row r="22">
      <c r="A22" s="71" t="s">
        <v>161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row>
    <row r="23">
      <c r="A23" s="71" t="s">
        <v>171</v>
      </c>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row>
    <row r="24">
      <c r="A24" s="71" t="s">
        <v>179</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row>
    <row r="25">
      <c r="A25" s="71" t="s">
        <v>187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row>
    <row r="26">
      <c r="A26" s="71" t="s">
        <v>195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row>
    <row r="27">
      <c r="A27" s="71" t="s">
        <v>204</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row>
    <row r="28">
      <c r="A28" s="71" t="s">
        <v>212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row>
    <row r="29">
      <c r="A29" s="71" t="s">
        <v>220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row>
    <row r="30">
      <c r="A30" s="71" t="s">
        <v>228</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row>
    <row r="31">
      <c r="A31" s="71" t="s">
        <v>236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row>
    <row r="32">
      <c r="A32" s="71" t="s">
        <v>758</v>
      </c>
      <c r="B32" s="75"/>
      <c r="C32" s="75" t="s">
        <v>759</v>
      </c>
      <c r="D32" s="75" t="s">
        <v>760</v>
      </c>
      <c r="E32" s="75" t="s">
        <v>761</v>
      </c>
      <c r="F32" s="75" t="s">
        <v>762</v>
      </c>
      <c r="G32" s="75" t="s">
        <v>763</v>
      </c>
      <c r="H32" s="75" t="s">
        <v>584</v>
      </c>
      <c r="I32" s="75" t="s">
        <v>764</v>
      </c>
      <c r="J32" s="75" t="s">
        <v>336</v>
      </c>
      <c r="K32" s="75" t="s">
        <v>765</v>
      </c>
      <c r="L32" s="75" t="s">
        <v>766</v>
      </c>
      <c r="M32" s="75" t="s">
        <v>767</v>
      </c>
      <c r="N32" s="75" t="s">
        <v>768</v>
      </c>
      <c r="O32" s="75" t="s">
        <v>769</v>
      </c>
      <c r="P32" s="75" t="s">
        <v>770</v>
      </c>
      <c r="Q32" s="75" t="s">
        <v>771</v>
      </c>
      <c r="R32" s="75" t="s">
        <v>772</v>
      </c>
      <c r="S32" s="75" t="s">
        <v>773</v>
      </c>
      <c r="T32" s="75" t="s">
        <v>774</v>
      </c>
      <c r="U32" s="75" t="s">
        <v>775</v>
      </c>
      <c r="V32" s="75" t="s">
        <v>776</v>
      </c>
      <c r="W32" s="75" t="s">
        <v>777</v>
      </c>
      <c r="X32" s="75" t="s">
        <v>778</v>
      </c>
      <c r="Y32" s="75" t="s">
        <v>779</v>
      </c>
      <c r="Z32" s="75" t="s">
        <v>780</v>
      </c>
      <c r="AA32" s="75" t="s">
        <v>781</v>
      </c>
      <c r="AB32" s="75" t="s">
        <v>782</v>
      </c>
      <c r="AC32" s="75" t="s">
        <v>783</v>
      </c>
      <c r="AD32" s="75" t="s">
        <v>784</v>
      </c>
      <c r="AE32" s="75" t="s">
        <v>785</v>
      </c>
      <c r="AF32" s="75" t="s">
        <v>786</v>
      </c>
      <c r="AG32" s="75" t="s">
        <v>336</v>
      </c>
      <c r="AH32" s="75" t="s">
        <v>787</v>
      </c>
      <c r="AI32" s="75" t="s">
        <v>788</v>
      </c>
      <c r="AJ32" s="75" t="s">
        <v>789</v>
      </c>
      <c r="AK32" s="75" t="s">
        <v>790</v>
      </c>
      <c r="AL32" s="75" t="s">
        <v>791</v>
      </c>
      <c r="AM32" s="75" t="s">
        <v>514</v>
      </c>
      <c r="AN32" s="75" t="s">
        <v>792</v>
      </c>
      <c r="AO32" s="75" t="s">
        <v>793</v>
      </c>
      <c r="AP32" s="75" t="s">
        <v>336</v>
      </c>
      <c r="AQ32" s="75" t="s">
        <v>794</v>
      </c>
      <c r="AR32" s="75" t="s">
        <v>795</v>
      </c>
      <c r="AS32" s="75" t="s">
        <v>796</v>
      </c>
      <c r="AT32" s="75" t="s">
        <v>797</v>
      </c>
      <c r="AU32" s="75" t="s">
        <v>798</v>
      </c>
      <c r="AV32" s="75" t="s">
        <v>799</v>
      </c>
      <c r="AW32" s="75" t="s">
        <v>800</v>
      </c>
      <c r="AX32" s="75" t="s">
        <v>801</v>
      </c>
      <c r="AY32" s="75" t="s">
        <v>802</v>
      </c>
      <c r="AZ32" s="74"/>
    </row>
    <row r="33">
      <c r="A33" s="71" t="s">
        <v>803</v>
      </c>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row>
    <row r="34">
      <c r="A34" s="71" t="s">
        <v>804</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row>
    <row r="35">
      <c r="A35" s="71" t="s">
        <v>805</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row>
    <row r="36">
      <c r="A36" s="71" t="s">
        <v>806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row>
    <row r="37">
      <c r="A37" s="71" t="s">
        <v>807</v>
      </c>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row>
    <row r="38">
      <c r="A38" s="71" t="s">
        <v>808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row>
    <row r="39">
      <c r="A39" s="71" t="s">
        <v>809</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row>
    <row r="40">
      <c r="A40" s="71" t="s">
        <v>810</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row>
    <row r="41">
      <c r="A41" s="71" t="s">
        <v>161</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row>
    <row r="42">
      <c r="A42" s="71"/>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row>
    <row r="43">
      <c r="A43" s="71"/>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row>
    <row r="44">
      <c r="A44" s="71"/>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row>
    <row r="45">
      <c r="A45" s="71"/>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row>
    <row r="46">
      <c r="A46" s="71"/>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row>
    <row r="47">
      <c r="A47" s="71"/>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row>
    <row r="48">
      <c r="A48" s="71"/>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row>
    <row r="49">
      <c r="A49" s="71"/>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row>
    <row r="50">
      <c r="A50" s="71"/>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row>
    <row r="51">
      <c r="A51" s="71"/>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row>
    <row r="52">
      <c r="A52" s="71"/>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row>
    <row r="53">
      <c r="A53" s="71"/>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row>
    <row r="54">
      <c r="A54" s="71"/>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row>
    <row r="55">
      <c r="A55" s="71"/>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row>
    <row r="56">
      <c r="A56" s="71"/>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row>
    <row r="57">
      <c r="A57" s="71"/>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row>
    <row r="58">
      <c r="A58" s="71"/>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row>
    <row r="59">
      <c r="A59" s="71"/>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row>
    <row r="60">
      <c r="A60" s="71"/>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row>
    <row r="61">
      <c r="A61" s="71"/>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row>
    <row r="62">
      <c r="A62" s="71"/>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row>
    <row r="63">
      <c r="A63" s="71"/>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row>
    <row r="64">
      <c r="A64" s="71"/>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row>
    <row r="65">
      <c r="A65" s="71"/>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row>
    <row r="66">
      <c r="A66" s="71"/>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row>
    <row r="67">
      <c r="A67" s="71"/>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row>
    <row r="68">
      <c r="A68" s="71"/>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row>
    <row r="69">
      <c r="A69" s="71"/>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row>
    <row r="70">
      <c r="A70" s="71"/>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row>
    <row r="71">
      <c r="A71" s="71"/>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row>
    <row r="72">
      <c r="A72" s="71"/>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row>
    <row r="73">
      <c r="A73" s="71"/>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row>
    <row r="74">
      <c r="A74" s="71"/>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row>
    <row r="75">
      <c r="A75" s="71"/>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row>
    <row r="76">
      <c r="A76" s="71"/>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row>
    <row r="77">
      <c r="A77" s="71"/>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row>
    <row r="78">
      <c r="A78" s="71"/>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row>
    <row r="79">
      <c r="A79" s="71"/>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row>
    <row r="80">
      <c r="A80" s="71"/>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row>
    <row r="81">
      <c r="A81" s="71"/>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row>
    <row r="82">
      <c r="A82" s="71"/>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row>
    <row r="83">
      <c r="A83" s="71"/>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row>
    <row r="84">
      <c r="A84" s="71"/>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row>
    <row r="85">
      <c r="A85" s="71"/>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row>
    <row r="86">
      <c r="A86" s="71"/>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row>
    <row r="87">
      <c r="A87" s="71"/>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row>
    <row r="88">
      <c r="A88" s="71"/>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row>
    <row r="89">
      <c r="A89" s="71"/>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row>
    <row r="90">
      <c r="A90" s="71"/>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row>
    <row r="91">
      <c r="A91" s="71"/>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row>
    <row r="92">
      <c r="A92" s="71"/>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row>
    <row r="93">
      <c r="A93" s="71"/>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row>
    <row r="94">
      <c r="A94" s="71"/>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row>
    <row r="95">
      <c r="A95" s="71"/>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row>
    <row r="96">
      <c r="A96" s="71"/>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row>
    <row r="97">
      <c r="A97" s="71"/>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row>
    <row r="98">
      <c r="A98" s="71"/>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row>
    <row r="99">
      <c r="A99" s="71"/>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row>
    <row r="100">
      <c r="A100" s="71"/>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row>
    <row r="101">
      <c r="A101" s="71"/>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row>
    <row r="102">
      <c r="A102" s="71"/>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row>
    <row r="103">
      <c r="A103" s="71"/>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row>
    <row r="104">
      <c r="A104" s="71"/>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row>
    <row r="105">
      <c r="A105" s="71"/>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row>
    <row r="106">
      <c r="A106" s="71"/>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row>
    <row r="107">
      <c r="A107" s="71"/>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row>
    <row r="108">
      <c r="A108" s="71"/>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row>
    <row r="109">
      <c r="A109" s="71"/>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row>
    <row r="110">
      <c r="A110" s="71"/>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row>
    <row r="111">
      <c r="A111" s="71"/>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row>
    <row r="112">
      <c r="A112" s="71"/>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row>
    <row r="113">
      <c r="A113" s="71"/>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row>
    <row r="114">
      <c r="A114" s="71"/>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row>
    <row r="115">
      <c r="A115" s="71"/>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row>
    <row r="116">
      <c r="A116" s="71"/>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row>
    <row r="117">
      <c r="A117" s="71"/>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row>
    <row r="118">
      <c r="A118" s="71"/>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row>
    <row r="119">
      <c r="A119" s="71"/>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row>
    <row r="120">
      <c r="A120" s="71"/>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row>
    <row r="121">
      <c r="A121" s="71"/>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row>
    <row r="122">
      <c r="A122" s="71"/>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row>
    <row r="123">
      <c r="A123" s="71"/>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row>
    <row r="124">
      <c r="A124" s="71"/>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row>
    <row r="125">
      <c r="A125" s="71"/>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row>
    <row r="126">
      <c r="A126" s="71"/>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row>
    <row r="127">
      <c r="A127" s="71"/>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row>
    <row r="128">
      <c r="A128" s="71"/>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row>
    <row r="129">
      <c r="A129" s="71"/>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row>
    <row r="130">
      <c r="A130" s="71"/>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row>
    <row r="131">
      <c r="A131" s="71"/>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row>
    <row r="132">
      <c r="A132" s="71"/>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row>
    <row r="133">
      <c r="A133" s="71"/>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row>
    <row r="134">
      <c r="A134" s="71"/>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row>
    <row r="135">
      <c r="A135" s="71"/>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row>
    <row r="136">
      <c r="A136" s="71"/>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row>
    <row r="137">
      <c r="A137" s="71"/>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row>
    <row r="138">
      <c r="A138" s="71"/>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row>
    <row r="139">
      <c r="A139" s="71"/>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row>
    <row r="140">
      <c r="A140" s="71"/>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row>
    <row r="141">
      <c r="A141" s="71"/>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row>
    <row r="142">
      <c r="A142" s="71"/>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row>
    <row r="143">
      <c r="A143" s="71"/>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row>
    <row r="144">
      <c r="A144" s="71"/>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row>
    <row r="145">
      <c r="A145" s="71"/>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row>
    <row r="146">
      <c r="A146" s="71"/>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row>
    <row r="147">
      <c r="A147" s="71"/>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row>
    <row r="148">
      <c r="A148" s="71"/>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row>
    <row r="149">
      <c r="A149" s="71"/>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row>
    <row r="150">
      <c r="A150" s="71"/>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row>
    <row r="151">
      <c r="A151" s="71"/>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row>
    <row r="152">
      <c r="A152" s="71"/>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row>
    <row r="153">
      <c r="A153" s="71"/>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row>
    <row r="154">
      <c r="A154" s="71"/>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row>
    <row r="155">
      <c r="A155" s="71"/>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row>
    <row r="156">
      <c r="A156" s="71"/>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row>
    <row r="157">
      <c r="A157" s="71"/>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row>
    <row r="158">
      <c r="A158" s="71"/>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row>
    <row r="159">
      <c r="A159" s="71"/>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row>
    <row r="160">
      <c r="A160" s="71"/>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row>
    <row r="161">
      <c r="A161" s="71"/>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row>
    <row r="162">
      <c r="A162" s="71"/>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row>
    <row r="163">
      <c r="A163" s="71"/>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row>
    <row r="164">
      <c r="A164" s="71"/>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row>
    <row r="165">
      <c r="A165" s="71"/>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row>
    <row r="166">
      <c r="A166" s="71"/>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row>
    <row r="167">
      <c r="A167" s="71"/>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row>
    <row r="168">
      <c r="A168" s="71"/>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row>
    <row r="169">
      <c r="A169" s="71"/>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row>
    <row r="170">
      <c r="A170" s="71"/>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row>
    <row r="171">
      <c r="A171" s="71"/>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row>
    <row r="172">
      <c r="A172" s="71"/>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row>
    <row r="173">
      <c r="A173" s="71"/>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row>
    <row r="174">
      <c r="A174" s="71"/>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row>
    <row r="175">
      <c r="A175" s="71"/>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row>
    <row r="176">
      <c r="A176" s="71"/>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row>
    <row r="177">
      <c r="A177" s="71"/>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row>
    <row r="178">
      <c r="A178" s="71"/>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row>
    <row r="179">
      <c r="A179" s="71"/>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row>
    <row r="180">
      <c r="A180" s="71"/>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row>
    <row r="181">
      <c r="A181" s="71"/>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row>
    <row r="182">
      <c r="A182" s="71"/>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row>
    <row r="183">
      <c r="A183" s="71"/>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row>
    <row r="184">
      <c r="A184" s="71"/>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row>
    <row r="185">
      <c r="A185" s="71"/>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row>
    <row r="186">
      <c r="A186" s="71"/>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row>
    <row r="187">
      <c r="A187" s="71"/>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row>
    <row r="188">
      <c r="A188" s="71"/>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row>
    <row r="189">
      <c r="A189" s="71"/>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row>
    <row r="190">
      <c r="A190" s="71"/>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row>
    <row r="191">
      <c r="A191" s="71"/>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row>
    <row r="192">
      <c r="A192" s="71"/>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row>
    <row r="193">
      <c r="A193" s="71"/>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row>
    <row r="194">
      <c r="A194" s="71"/>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row>
    <row r="195">
      <c r="A195" s="71"/>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row>
    <row r="196">
      <c r="A196" s="71"/>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row>
    <row r="197">
      <c r="A197" s="71"/>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row>
    <row r="198">
      <c r="A198" s="71"/>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row>
    <row r="199">
      <c r="A199" s="71"/>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row>
    <row r="200">
      <c r="A200" s="71"/>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row>
    <row r="201">
      <c r="A201" s="71"/>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row>
    <row r="202">
      <c r="A202" s="71"/>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row>
    <row r="203">
      <c r="A203" s="71"/>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row>
    <row r="204">
      <c r="A204" s="71"/>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row>
    <row r="205">
      <c r="A205" s="71"/>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row>
    <row r="206">
      <c r="A206" s="71"/>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row>
    <row r="207">
      <c r="A207" s="71"/>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row>
    <row r="208">
      <c r="A208" s="71"/>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row>
    <row r="209">
      <c r="A209" s="71"/>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row>
    <row r="210">
      <c r="A210" s="71"/>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row>
    <row r="211">
      <c r="A211" s="71"/>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row>
    <row r="212">
      <c r="A212" s="71"/>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row>
    <row r="213">
      <c r="A213" s="71"/>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row>
    <row r="214">
      <c r="A214" s="71"/>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row>
    <row r="215">
      <c r="A215" s="71"/>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row>
    <row r="216">
      <c r="A216" s="71"/>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row>
    <row r="217">
      <c r="A217" s="71"/>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row>
    <row r="218">
      <c r="A218" s="71"/>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row>
    <row r="219">
      <c r="A219" s="71"/>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row>
    <row r="220">
      <c r="A220" s="71"/>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row>
    <row r="221">
      <c r="A221" s="71"/>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c r="AN221" s="74"/>
      <c r="AO221" s="74"/>
      <c r="AP221" s="74"/>
      <c r="AQ221" s="74"/>
      <c r="AR221" s="74"/>
      <c r="AS221" s="74"/>
      <c r="AT221" s="74"/>
      <c r="AU221" s="74"/>
      <c r="AV221" s="74"/>
      <c r="AW221" s="74"/>
      <c r="AX221" s="74"/>
      <c r="AY221" s="74"/>
      <c r="AZ221" s="74"/>
    </row>
    <row r="222">
      <c r="A222" s="71"/>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c r="AM222" s="74"/>
      <c r="AN222" s="74"/>
      <c r="AO222" s="74"/>
      <c r="AP222" s="74"/>
      <c r="AQ222" s="74"/>
      <c r="AR222" s="74"/>
      <c r="AS222" s="74"/>
      <c r="AT222" s="74"/>
      <c r="AU222" s="74"/>
      <c r="AV222" s="74"/>
      <c r="AW222" s="74"/>
      <c r="AX222" s="74"/>
      <c r="AY222" s="74"/>
      <c r="AZ222" s="74"/>
    </row>
    <row r="223">
      <c r="A223" s="71"/>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c r="AL223" s="74"/>
      <c r="AM223" s="74"/>
      <c r="AN223" s="74"/>
      <c r="AO223" s="74"/>
      <c r="AP223" s="74"/>
      <c r="AQ223" s="74"/>
      <c r="AR223" s="74"/>
      <c r="AS223" s="74"/>
      <c r="AT223" s="74"/>
      <c r="AU223" s="74"/>
      <c r="AV223" s="74"/>
      <c r="AW223" s="74"/>
      <c r="AX223" s="74"/>
      <c r="AY223" s="74"/>
      <c r="AZ223" s="74"/>
    </row>
    <row r="224">
      <c r="A224" s="71"/>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c r="AL224" s="74"/>
      <c r="AM224" s="74"/>
      <c r="AN224" s="74"/>
      <c r="AO224" s="74"/>
      <c r="AP224" s="74"/>
      <c r="AQ224" s="74"/>
      <c r="AR224" s="74"/>
      <c r="AS224" s="74"/>
      <c r="AT224" s="74"/>
      <c r="AU224" s="74"/>
      <c r="AV224" s="74"/>
      <c r="AW224" s="74"/>
      <c r="AX224" s="74"/>
      <c r="AY224" s="74"/>
      <c r="AZ224" s="74"/>
    </row>
    <row r="225">
      <c r="A225" s="71"/>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c r="AM225" s="74"/>
      <c r="AN225" s="74"/>
      <c r="AO225" s="74"/>
      <c r="AP225" s="74"/>
      <c r="AQ225" s="74"/>
      <c r="AR225" s="74"/>
      <c r="AS225" s="74"/>
      <c r="AT225" s="74"/>
      <c r="AU225" s="74"/>
      <c r="AV225" s="74"/>
      <c r="AW225" s="74"/>
      <c r="AX225" s="74"/>
      <c r="AY225" s="74"/>
      <c r="AZ225" s="74"/>
    </row>
    <row r="226">
      <c r="A226" s="71"/>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c r="AL226" s="74"/>
      <c r="AM226" s="74"/>
      <c r="AN226" s="74"/>
      <c r="AO226" s="74"/>
      <c r="AP226" s="74"/>
      <c r="AQ226" s="74"/>
      <c r="AR226" s="74"/>
      <c r="AS226" s="74"/>
      <c r="AT226" s="74"/>
      <c r="AU226" s="74"/>
      <c r="AV226" s="74"/>
      <c r="AW226" s="74"/>
      <c r="AX226" s="74"/>
      <c r="AY226" s="74"/>
      <c r="AZ226" s="74"/>
    </row>
    <row r="227">
      <c r="A227" s="71"/>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c r="AJ227" s="74"/>
      <c r="AK227" s="74"/>
      <c r="AL227" s="74"/>
      <c r="AM227" s="74"/>
      <c r="AN227" s="74"/>
      <c r="AO227" s="74"/>
      <c r="AP227" s="74"/>
      <c r="AQ227" s="74"/>
      <c r="AR227" s="74"/>
      <c r="AS227" s="74"/>
      <c r="AT227" s="74"/>
      <c r="AU227" s="74"/>
      <c r="AV227" s="74"/>
      <c r="AW227" s="74"/>
      <c r="AX227" s="74"/>
      <c r="AY227" s="74"/>
      <c r="AZ227" s="74"/>
    </row>
    <row r="228">
      <c r="A228" s="71"/>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c r="AL228" s="74"/>
      <c r="AM228" s="74"/>
      <c r="AN228" s="74"/>
      <c r="AO228" s="74"/>
      <c r="AP228" s="74"/>
      <c r="AQ228" s="74"/>
      <c r="AR228" s="74"/>
      <c r="AS228" s="74"/>
      <c r="AT228" s="74"/>
      <c r="AU228" s="74"/>
      <c r="AV228" s="74"/>
      <c r="AW228" s="74"/>
      <c r="AX228" s="74"/>
      <c r="AY228" s="74"/>
      <c r="AZ228" s="74"/>
    </row>
    <row r="229">
      <c r="A229" s="71"/>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c r="AJ229" s="74"/>
      <c r="AK229" s="74"/>
      <c r="AL229" s="74"/>
      <c r="AM229" s="74"/>
      <c r="AN229" s="74"/>
      <c r="AO229" s="74"/>
      <c r="AP229" s="74"/>
      <c r="AQ229" s="74"/>
      <c r="AR229" s="74"/>
      <c r="AS229" s="74"/>
      <c r="AT229" s="74"/>
      <c r="AU229" s="74"/>
      <c r="AV229" s="74"/>
      <c r="AW229" s="74"/>
      <c r="AX229" s="74"/>
      <c r="AY229" s="74"/>
      <c r="AZ229" s="74"/>
    </row>
    <row r="230">
      <c r="A230" s="71"/>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c r="AL230" s="74"/>
      <c r="AM230" s="74"/>
      <c r="AN230" s="74"/>
      <c r="AO230" s="74"/>
      <c r="AP230" s="74"/>
      <c r="AQ230" s="74"/>
      <c r="AR230" s="74"/>
      <c r="AS230" s="74"/>
      <c r="AT230" s="74"/>
      <c r="AU230" s="74"/>
      <c r="AV230" s="74"/>
      <c r="AW230" s="74"/>
      <c r="AX230" s="74"/>
      <c r="AY230" s="74"/>
      <c r="AZ230" s="74"/>
    </row>
    <row r="231">
      <c r="A231" s="71"/>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c r="AL231" s="74"/>
      <c r="AM231" s="74"/>
      <c r="AN231" s="74"/>
      <c r="AO231" s="74"/>
      <c r="AP231" s="74"/>
      <c r="AQ231" s="74"/>
      <c r="AR231" s="74"/>
      <c r="AS231" s="74"/>
      <c r="AT231" s="74"/>
      <c r="AU231" s="74"/>
      <c r="AV231" s="74"/>
      <c r="AW231" s="74"/>
      <c r="AX231" s="74"/>
      <c r="AY231" s="74"/>
      <c r="AZ231" s="74"/>
    </row>
    <row r="232">
      <c r="A232" s="71"/>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c r="AN232" s="74"/>
      <c r="AO232" s="74"/>
      <c r="AP232" s="74"/>
      <c r="AQ232" s="74"/>
      <c r="AR232" s="74"/>
      <c r="AS232" s="74"/>
      <c r="AT232" s="74"/>
      <c r="AU232" s="74"/>
      <c r="AV232" s="74"/>
      <c r="AW232" s="74"/>
      <c r="AX232" s="74"/>
      <c r="AY232" s="74"/>
      <c r="AZ232" s="74"/>
    </row>
    <row r="233">
      <c r="A233" s="71"/>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c r="AN233" s="74"/>
      <c r="AO233" s="74"/>
      <c r="AP233" s="74"/>
      <c r="AQ233" s="74"/>
      <c r="AR233" s="74"/>
      <c r="AS233" s="74"/>
      <c r="AT233" s="74"/>
      <c r="AU233" s="74"/>
      <c r="AV233" s="74"/>
      <c r="AW233" s="74"/>
      <c r="AX233" s="74"/>
      <c r="AY233" s="74"/>
      <c r="AZ233" s="74"/>
    </row>
    <row r="234">
      <c r="A234" s="71"/>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c r="AM234" s="74"/>
      <c r="AN234" s="74"/>
      <c r="AO234" s="74"/>
      <c r="AP234" s="74"/>
      <c r="AQ234" s="74"/>
      <c r="AR234" s="74"/>
      <c r="AS234" s="74"/>
      <c r="AT234" s="74"/>
      <c r="AU234" s="74"/>
      <c r="AV234" s="74"/>
      <c r="AW234" s="74"/>
      <c r="AX234" s="74"/>
      <c r="AY234" s="74"/>
      <c r="AZ234" s="74"/>
    </row>
    <row r="235">
      <c r="A235" s="71"/>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c r="AL235" s="74"/>
      <c r="AM235" s="74"/>
      <c r="AN235" s="74"/>
      <c r="AO235" s="74"/>
      <c r="AP235" s="74"/>
      <c r="AQ235" s="74"/>
      <c r="AR235" s="74"/>
      <c r="AS235" s="74"/>
      <c r="AT235" s="74"/>
      <c r="AU235" s="74"/>
      <c r="AV235" s="74"/>
      <c r="AW235" s="74"/>
      <c r="AX235" s="74"/>
      <c r="AY235" s="74"/>
      <c r="AZ235" s="74"/>
    </row>
    <row r="236">
      <c r="A236" s="71"/>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c r="AJ236" s="74"/>
      <c r="AK236" s="74"/>
      <c r="AL236" s="74"/>
      <c r="AM236" s="74"/>
      <c r="AN236" s="74"/>
      <c r="AO236" s="74"/>
      <c r="AP236" s="74"/>
      <c r="AQ236" s="74"/>
      <c r="AR236" s="74"/>
      <c r="AS236" s="74"/>
      <c r="AT236" s="74"/>
      <c r="AU236" s="74"/>
      <c r="AV236" s="74"/>
      <c r="AW236" s="74"/>
      <c r="AX236" s="74"/>
      <c r="AY236" s="74"/>
      <c r="AZ236" s="74"/>
    </row>
    <row r="237">
      <c r="A237" s="71"/>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c r="AJ237" s="74"/>
      <c r="AK237" s="74"/>
      <c r="AL237" s="74"/>
      <c r="AM237" s="74"/>
      <c r="AN237" s="74"/>
      <c r="AO237" s="74"/>
      <c r="AP237" s="74"/>
      <c r="AQ237" s="74"/>
      <c r="AR237" s="74"/>
      <c r="AS237" s="74"/>
      <c r="AT237" s="74"/>
      <c r="AU237" s="74"/>
      <c r="AV237" s="74"/>
      <c r="AW237" s="74"/>
      <c r="AX237" s="74"/>
      <c r="AY237" s="74"/>
      <c r="AZ237" s="74"/>
    </row>
    <row r="238">
      <c r="A238" s="71"/>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c r="AL238" s="74"/>
      <c r="AM238" s="74"/>
      <c r="AN238" s="74"/>
      <c r="AO238" s="74"/>
      <c r="AP238" s="74"/>
      <c r="AQ238" s="74"/>
      <c r="AR238" s="74"/>
      <c r="AS238" s="74"/>
      <c r="AT238" s="74"/>
      <c r="AU238" s="74"/>
      <c r="AV238" s="74"/>
      <c r="AW238" s="74"/>
      <c r="AX238" s="74"/>
      <c r="AY238" s="74"/>
      <c r="AZ238" s="74"/>
    </row>
    <row r="239">
      <c r="A239" s="71"/>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74"/>
      <c r="AU239" s="74"/>
      <c r="AV239" s="74"/>
      <c r="AW239" s="74"/>
      <c r="AX239" s="74"/>
      <c r="AY239" s="74"/>
      <c r="AZ239" s="74"/>
    </row>
    <row r="240">
      <c r="A240" s="71"/>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c r="AM240" s="74"/>
      <c r="AN240" s="74"/>
      <c r="AO240" s="74"/>
      <c r="AP240" s="74"/>
      <c r="AQ240" s="74"/>
      <c r="AR240" s="74"/>
      <c r="AS240" s="74"/>
      <c r="AT240" s="74"/>
      <c r="AU240" s="74"/>
      <c r="AV240" s="74"/>
      <c r="AW240" s="74"/>
      <c r="AX240" s="74"/>
      <c r="AY240" s="74"/>
      <c r="AZ240" s="74"/>
    </row>
    <row r="241">
      <c r="A241" s="71"/>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c r="AM241" s="74"/>
      <c r="AN241" s="74"/>
      <c r="AO241" s="74"/>
      <c r="AP241" s="74"/>
      <c r="AQ241" s="74"/>
      <c r="AR241" s="74"/>
      <c r="AS241" s="74"/>
      <c r="AT241" s="74"/>
      <c r="AU241" s="74"/>
      <c r="AV241" s="74"/>
      <c r="AW241" s="74"/>
      <c r="AX241" s="74"/>
      <c r="AY241" s="74"/>
      <c r="AZ241" s="74"/>
    </row>
    <row r="242">
      <c r="A242" s="71"/>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c r="AL242" s="74"/>
      <c r="AM242" s="74"/>
      <c r="AN242" s="74"/>
      <c r="AO242" s="74"/>
      <c r="AP242" s="74"/>
      <c r="AQ242" s="74"/>
      <c r="AR242" s="74"/>
      <c r="AS242" s="74"/>
      <c r="AT242" s="74"/>
      <c r="AU242" s="74"/>
      <c r="AV242" s="74"/>
      <c r="AW242" s="74"/>
      <c r="AX242" s="74"/>
      <c r="AY242" s="74"/>
      <c r="AZ242" s="74"/>
    </row>
    <row r="243">
      <c r="A243" s="71"/>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c r="AL243" s="74"/>
      <c r="AM243" s="74"/>
      <c r="AN243" s="74"/>
      <c r="AO243" s="74"/>
      <c r="AP243" s="74"/>
      <c r="AQ243" s="74"/>
      <c r="AR243" s="74"/>
      <c r="AS243" s="74"/>
      <c r="AT243" s="74"/>
      <c r="AU243" s="74"/>
      <c r="AV243" s="74"/>
      <c r="AW243" s="74"/>
      <c r="AX243" s="74"/>
      <c r="AY243" s="74"/>
      <c r="AZ243" s="74"/>
    </row>
    <row r="244">
      <c r="A244" s="71"/>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c r="AM244" s="74"/>
      <c r="AN244" s="74"/>
      <c r="AO244" s="74"/>
      <c r="AP244" s="74"/>
      <c r="AQ244" s="74"/>
      <c r="AR244" s="74"/>
      <c r="AS244" s="74"/>
      <c r="AT244" s="74"/>
      <c r="AU244" s="74"/>
      <c r="AV244" s="74"/>
      <c r="AW244" s="74"/>
      <c r="AX244" s="74"/>
      <c r="AY244" s="74"/>
      <c r="AZ244" s="74"/>
    </row>
    <row r="245">
      <c r="A245" s="71"/>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c r="AN245" s="74"/>
      <c r="AO245" s="74"/>
      <c r="AP245" s="74"/>
      <c r="AQ245" s="74"/>
      <c r="AR245" s="74"/>
      <c r="AS245" s="74"/>
      <c r="AT245" s="74"/>
      <c r="AU245" s="74"/>
      <c r="AV245" s="74"/>
      <c r="AW245" s="74"/>
      <c r="AX245" s="74"/>
      <c r="AY245" s="74"/>
      <c r="AZ245" s="74"/>
    </row>
    <row r="246">
      <c r="A246" s="71"/>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c r="AL246" s="74"/>
      <c r="AM246" s="74"/>
      <c r="AN246" s="74"/>
      <c r="AO246" s="74"/>
      <c r="AP246" s="74"/>
      <c r="AQ246" s="74"/>
      <c r="AR246" s="74"/>
      <c r="AS246" s="74"/>
      <c r="AT246" s="74"/>
      <c r="AU246" s="74"/>
      <c r="AV246" s="74"/>
      <c r="AW246" s="74"/>
      <c r="AX246" s="74"/>
      <c r="AY246" s="74"/>
      <c r="AZ246" s="74"/>
    </row>
    <row r="247">
      <c r="A247" s="71"/>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c r="AL247" s="74"/>
      <c r="AM247" s="74"/>
      <c r="AN247" s="74"/>
      <c r="AO247" s="74"/>
      <c r="AP247" s="74"/>
      <c r="AQ247" s="74"/>
      <c r="AR247" s="74"/>
      <c r="AS247" s="74"/>
      <c r="AT247" s="74"/>
      <c r="AU247" s="74"/>
      <c r="AV247" s="74"/>
      <c r="AW247" s="74"/>
      <c r="AX247" s="74"/>
      <c r="AY247" s="74"/>
      <c r="AZ247" s="74"/>
    </row>
    <row r="248">
      <c r="A248" s="71"/>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c r="AM248" s="74"/>
      <c r="AN248" s="74"/>
      <c r="AO248" s="74"/>
      <c r="AP248" s="74"/>
      <c r="AQ248" s="74"/>
      <c r="AR248" s="74"/>
      <c r="AS248" s="74"/>
      <c r="AT248" s="74"/>
      <c r="AU248" s="74"/>
      <c r="AV248" s="74"/>
      <c r="AW248" s="74"/>
      <c r="AX248" s="74"/>
      <c r="AY248" s="74"/>
      <c r="AZ248" s="74"/>
    </row>
    <row r="249">
      <c r="A249" s="71"/>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c r="AN249" s="74"/>
      <c r="AO249" s="74"/>
      <c r="AP249" s="74"/>
      <c r="AQ249" s="74"/>
      <c r="AR249" s="74"/>
      <c r="AS249" s="74"/>
      <c r="AT249" s="74"/>
      <c r="AU249" s="74"/>
      <c r="AV249" s="74"/>
      <c r="AW249" s="74"/>
      <c r="AX249" s="74"/>
      <c r="AY249" s="74"/>
      <c r="AZ249" s="74"/>
    </row>
    <row r="250">
      <c r="A250" s="71"/>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c r="AN250" s="74"/>
      <c r="AO250" s="74"/>
      <c r="AP250" s="74"/>
      <c r="AQ250" s="74"/>
      <c r="AR250" s="74"/>
      <c r="AS250" s="74"/>
      <c r="AT250" s="74"/>
      <c r="AU250" s="74"/>
      <c r="AV250" s="74"/>
      <c r="AW250" s="74"/>
      <c r="AX250" s="74"/>
      <c r="AY250" s="74"/>
      <c r="AZ250" s="74"/>
    </row>
    <row r="251">
      <c r="A251" s="71"/>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c r="AN251" s="74"/>
      <c r="AO251" s="74"/>
      <c r="AP251" s="74"/>
      <c r="AQ251" s="74"/>
      <c r="AR251" s="74"/>
      <c r="AS251" s="74"/>
      <c r="AT251" s="74"/>
      <c r="AU251" s="74"/>
      <c r="AV251" s="74"/>
      <c r="AW251" s="74"/>
      <c r="AX251" s="74"/>
      <c r="AY251" s="74"/>
      <c r="AZ251" s="74"/>
    </row>
    <row r="252">
      <c r="A252" s="71"/>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c r="AL252" s="74"/>
      <c r="AM252" s="74"/>
      <c r="AN252" s="74"/>
      <c r="AO252" s="74"/>
      <c r="AP252" s="74"/>
      <c r="AQ252" s="74"/>
      <c r="AR252" s="74"/>
      <c r="AS252" s="74"/>
      <c r="AT252" s="74"/>
      <c r="AU252" s="74"/>
      <c r="AV252" s="74"/>
      <c r="AW252" s="74"/>
      <c r="AX252" s="74"/>
      <c r="AY252" s="74"/>
      <c r="AZ252" s="74"/>
    </row>
    <row r="253">
      <c r="A253" s="71"/>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c r="AL253" s="74"/>
      <c r="AM253" s="74"/>
      <c r="AN253" s="74"/>
      <c r="AO253" s="74"/>
      <c r="AP253" s="74"/>
      <c r="AQ253" s="74"/>
      <c r="AR253" s="74"/>
      <c r="AS253" s="74"/>
      <c r="AT253" s="74"/>
      <c r="AU253" s="74"/>
      <c r="AV253" s="74"/>
      <c r="AW253" s="74"/>
      <c r="AX253" s="74"/>
      <c r="AY253" s="74"/>
      <c r="AZ253" s="74"/>
    </row>
    <row r="254">
      <c r="A254" s="71"/>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c r="AM254" s="74"/>
      <c r="AN254" s="74"/>
      <c r="AO254" s="74"/>
      <c r="AP254" s="74"/>
      <c r="AQ254" s="74"/>
      <c r="AR254" s="74"/>
      <c r="AS254" s="74"/>
      <c r="AT254" s="74"/>
      <c r="AU254" s="74"/>
      <c r="AV254" s="74"/>
      <c r="AW254" s="74"/>
      <c r="AX254" s="74"/>
      <c r="AY254" s="74"/>
      <c r="AZ254" s="74"/>
    </row>
    <row r="255">
      <c r="A255" s="71"/>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c r="AM255" s="74"/>
      <c r="AN255" s="74"/>
      <c r="AO255" s="74"/>
      <c r="AP255" s="74"/>
      <c r="AQ255" s="74"/>
      <c r="AR255" s="74"/>
      <c r="AS255" s="74"/>
      <c r="AT255" s="74"/>
      <c r="AU255" s="74"/>
      <c r="AV255" s="74"/>
      <c r="AW255" s="74"/>
      <c r="AX255" s="74"/>
      <c r="AY255" s="74"/>
      <c r="AZ255" s="74"/>
    </row>
    <row r="256">
      <c r="A256" s="71"/>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c r="AJ256" s="74"/>
      <c r="AK256" s="74"/>
      <c r="AL256" s="74"/>
      <c r="AM256" s="74"/>
      <c r="AN256" s="74"/>
      <c r="AO256" s="74"/>
      <c r="AP256" s="74"/>
      <c r="AQ256" s="74"/>
      <c r="AR256" s="74"/>
      <c r="AS256" s="74"/>
      <c r="AT256" s="74"/>
      <c r="AU256" s="74"/>
      <c r="AV256" s="74"/>
      <c r="AW256" s="74"/>
      <c r="AX256" s="74"/>
      <c r="AY256" s="74"/>
      <c r="AZ256" s="74"/>
    </row>
    <row r="257">
      <c r="A257" s="71"/>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c r="AL257" s="74"/>
      <c r="AM257" s="74"/>
      <c r="AN257" s="74"/>
      <c r="AO257" s="74"/>
      <c r="AP257" s="74"/>
      <c r="AQ257" s="74"/>
      <c r="AR257" s="74"/>
      <c r="AS257" s="74"/>
      <c r="AT257" s="74"/>
      <c r="AU257" s="74"/>
      <c r="AV257" s="74"/>
      <c r="AW257" s="74"/>
      <c r="AX257" s="74"/>
      <c r="AY257" s="74"/>
      <c r="AZ257" s="74"/>
    </row>
    <row r="258">
      <c r="A258" s="71"/>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c r="AL258" s="74"/>
      <c r="AM258" s="74"/>
      <c r="AN258" s="74"/>
      <c r="AO258" s="74"/>
      <c r="AP258" s="74"/>
      <c r="AQ258" s="74"/>
      <c r="AR258" s="74"/>
      <c r="AS258" s="74"/>
      <c r="AT258" s="74"/>
      <c r="AU258" s="74"/>
      <c r="AV258" s="74"/>
      <c r="AW258" s="74"/>
      <c r="AX258" s="74"/>
      <c r="AY258" s="74"/>
      <c r="AZ258" s="74"/>
    </row>
    <row r="259">
      <c r="A259" s="71"/>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c r="AJ259" s="74"/>
      <c r="AK259" s="74"/>
      <c r="AL259" s="74"/>
      <c r="AM259" s="74"/>
      <c r="AN259" s="74"/>
      <c r="AO259" s="74"/>
      <c r="AP259" s="74"/>
      <c r="AQ259" s="74"/>
      <c r="AR259" s="74"/>
      <c r="AS259" s="74"/>
      <c r="AT259" s="74"/>
      <c r="AU259" s="74"/>
      <c r="AV259" s="74"/>
      <c r="AW259" s="74"/>
      <c r="AX259" s="74"/>
      <c r="AY259" s="74"/>
      <c r="AZ259" s="74"/>
    </row>
    <row r="260">
      <c r="A260" s="71"/>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c r="AN260" s="74"/>
      <c r="AO260" s="74"/>
      <c r="AP260" s="74"/>
      <c r="AQ260" s="74"/>
      <c r="AR260" s="74"/>
      <c r="AS260" s="74"/>
      <c r="AT260" s="74"/>
      <c r="AU260" s="74"/>
      <c r="AV260" s="74"/>
      <c r="AW260" s="74"/>
      <c r="AX260" s="74"/>
      <c r="AY260" s="74"/>
      <c r="AZ260" s="74"/>
    </row>
    <row r="261">
      <c r="A261" s="71"/>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c r="AM261" s="74"/>
      <c r="AN261" s="74"/>
      <c r="AO261" s="74"/>
      <c r="AP261" s="74"/>
      <c r="AQ261" s="74"/>
      <c r="AR261" s="74"/>
      <c r="AS261" s="74"/>
      <c r="AT261" s="74"/>
      <c r="AU261" s="74"/>
      <c r="AV261" s="74"/>
      <c r="AW261" s="74"/>
      <c r="AX261" s="74"/>
      <c r="AY261" s="74"/>
      <c r="AZ261" s="74"/>
    </row>
    <row r="262">
      <c r="A262" s="71"/>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c r="AL262" s="74"/>
      <c r="AM262" s="74"/>
      <c r="AN262" s="74"/>
      <c r="AO262" s="74"/>
      <c r="AP262" s="74"/>
      <c r="AQ262" s="74"/>
      <c r="AR262" s="74"/>
      <c r="AS262" s="74"/>
      <c r="AT262" s="74"/>
      <c r="AU262" s="74"/>
      <c r="AV262" s="74"/>
      <c r="AW262" s="74"/>
      <c r="AX262" s="74"/>
      <c r="AY262" s="74"/>
      <c r="AZ262" s="74"/>
    </row>
    <row r="263">
      <c r="A263" s="71"/>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c r="AL263" s="74"/>
      <c r="AM263" s="74"/>
      <c r="AN263" s="74"/>
      <c r="AO263" s="74"/>
      <c r="AP263" s="74"/>
      <c r="AQ263" s="74"/>
      <c r="AR263" s="74"/>
      <c r="AS263" s="74"/>
      <c r="AT263" s="74"/>
      <c r="AU263" s="74"/>
      <c r="AV263" s="74"/>
      <c r="AW263" s="74"/>
      <c r="AX263" s="74"/>
      <c r="AY263" s="74"/>
      <c r="AZ263" s="74"/>
    </row>
    <row r="264">
      <c r="A264" s="71"/>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c r="AJ264" s="74"/>
      <c r="AK264" s="74"/>
      <c r="AL264" s="74"/>
      <c r="AM264" s="74"/>
      <c r="AN264" s="74"/>
      <c r="AO264" s="74"/>
      <c r="AP264" s="74"/>
      <c r="AQ264" s="74"/>
      <c r="AR264" s="74"/>
      <c r="AS264" s="74"/>
      <c r="AT264" s="74"/>
      <c r="AU264" s="74"/>
      <c r="AV264" s="74"/>
      <c r="AW264" s="74"/>
      <c r="AX264" s="74"/>
      <c r="AY264" s="74"/>
      <c r="AZ264" s="74"/>
    </row>
    <row r="265">
      <c r="A265" s="71"/>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c r="AJ265" s="74"/>
      <c r="AK265" s="74"/>
      <c r="AL265" s="74"/>
      <c r="AM265" s="74"/>
      <c r="AN265" s="74"/>
      <c r="AO265" s="74"/>
      <c r="AP265" s="74"/>
      <c r="AQ265" s="74"/>
      <c r="AR265" s="74"/>
      <c r="AS265" s="74"/>
      <c r="AT265" s="74"/>
      <c r="AU265" s="74"/>
      <c r="AV265" s="74"/>
      <c r="AW265" s="74"/>
      <c r="AX265" s="74"/>
      <c r="AY265" s="74"/>
      <c r="AZ265" s="74"/>
    </row>
    <row r="266">
      <c r="A266" s="71"/>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c r="AL266" s="74"/>
      <c r="AM266" s="74"/>
      <c r="AN266" s="74"/>
      <c r="AO266" s="74"/>
      <c r="AP266" s="74"/>
      <c r="AQ266" s="74"/>
      <c r="AR266" s="74"/>
      <c r="AS266" s="74"/>
      <c r="AT266" s="74"/>
      <c r="AU266" s="74"/>
      <c r="AV266" s="74"/>
      <c r="AW266" s="74"/>
      <c r="AX266" s="74"/>
      <c r="AY266" s="74"/>
      <c r="AZ266" s="74"/>
    </row>
    <row r="267">
      <c r="A267" s="71"/>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c r="AL267" s="74"/>
      <c r="AM267" s="74"/>
      <c r="AN267" s="74"/>
      <c r="AO267" s="74"/>
      <c r="AP267" s="74"/>
      <c r="AQ267" s="74"/>
      <c r="AR267" s="74"/>
      <c r="AS267" s="74"/>
      <c r="AT267" s="74"/>
      <c r="AU267" s="74"/>
      <c r="AV267" s="74"/>
      <c r="AW267" s="74"/>
      <c r="AX267" s="74"/>
      <c r="AY267" s="74"/>
      <c r="AZ267" s="74"/>
    </row>
    <row r="268">
      <c r="A268" s="71"/>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c r="AM268" s="74"/>
      <c r="AN268" s="74"/>
      <c r="AO268" s="74"/>
      <c r="AP268" s="74"/>
      <c r="AQ268" s="74"/>
      <c r="AR268" s="74"/>
      <c r="AS268" s="74"/>
      <c r="AT268" s="74"/>
      <c r="AU268" s="74"/>
      <c r="AV268" s="74"/>
      <c r="AW268" s="74"/>
      <c r="AX268" s="74"/>
      <c r="AY268" s="74"/>
      <c r="AZ268" s="74"/>
    </row>
    <row r="269">
      <c r="A269" s="71"/>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c r="AL269" s="74"/>
      <c r="AM269" s="74"/>
      <c r="AN269" s="74"/>
      <c r="AO269" s="74"/>
      <c r="AP269" s="74"/>
      <c r="AQ269" s="74"/>
      <c r="AR269" s="74"/>
      <c r="AS269" s="74"/>
      <c r="AT269" s="74"/>
      <c r="AU269" s="74"/>
      <c r="AV269" s="74"/>
      <c r="AW269" s="74"/>
      <c r="AX269" s="74"/>
      <c r="AY269" s="74"/>
      <c r="AZ269" s="74"/>
    </row>
    <row r="270">
      <c r="A270" s="71"/>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c r="AJ270" s="74"/>
      <c r="AK270" s="74"/>
      <c r="AL270" s="74"/>
      <c r="AM270" s="74"/>
      <c r="AN270" s="74"/>
      <c r="AO270" s="74"/>
      <c r="AP270" s="74"/>
      <c r="AQ270" s="74"/>
      <c r="AR270" s="74"/>
      <c r="AS270" s="74"/>
      <c r="AT270" s="74"/>
      <c r="AU270" s="74"/>
      <c r="AV270" s="74"/>
      <c r="AW270" s="74"/>
      <c r="AX270" s="74"/>
      <c r="AY270" s="74"/>
      <c r="AZ270" s="74"/>
    </row>
    <row r="271">
      <c r="A271" s="71"/>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c r="AJ271" s="74"/>
      <c r="AK271" s="74"/>
      <c r="AL271" s="74"/>
      <c r="AM271" s="74"/>
      <c r="AN271" s="74"/>
      <c r="AO271" s="74"/>
      <c r="AP271" s="74"/>
      <c r="AQ271" s="74"/>
      <c r="AR271" s="74"/>
      <c r="AS271" s="74"/>
      <c r="AT271" s="74"/>
      <c r="AU271" s="74"/>
      <c r="AV271" s="74"/>
      <c r="AW271" s="74"/>
      <c r="AX271" s="74"/>
      <c r="AY271" s="74"/>
      <c r="AZ271" s="74"/>
    </row>
    <row r="272">
      <c r="A272" s="71"/>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c r="AL272" s="74"/>
      <c r="AM272" s="74"/>
      <c r="AN272" s="74"/>
      <c r="AO272" s="74"/>
      <c r="AP272" s="74"/>
      <c r="AQ272" s="74"/>
      <c r="AR272" s="74"/>
      <c r="AS272" s="74"/>
      <c r="AT272" s="74"/>
      <c r="AU272" s="74"/>
      <c r="AV272" s="74"/>
      <c r="AW272" s="74"/>
      <c r="AX272" s="74"/>
      <c r="AY272" s="74"/>
      <c r="AZ272" s="74"/>
    </row>
    <row r="273">
      <c r="A273" s="71"/>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c r="AL273" s="74"/>
      <c r="AM273" s="74"/>
      <c r="AN273" s="74"/>
      <c r="AO273" s="74"/>
      <c r="AP273" s="74"/>
      <c r="AQ273" s="74"/>
      <c r="AR273" s="74"/>
      <c r="AS273" s="74"/>
      <c r="AT273" s="74"/>
      <c r="AU273" s="74"/>
      <c r="AV273" s="74"/>
      <c r="AW273" s="74"/>
      <c r="AX273" s="74"/>
      <c r="AY273" s="74"/>
      <c r="AZ273" s="74"/>
    </row>
    <row r="274">
      <c r="A274" s="71"/>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c r="AL274" s="74"/>
      <c r="AM274" s="74"/>
      <c r="AN274" s="74"/>
      <c r="AO274" s="74"/>
      <c r="AP274" s="74"/>
      <c r="AQ274" s="74"/>
      <c r="AR274" s="74"/>
      <c r="AS274" s="74"/>
      <c r="AT274" s="74"/>
      <c r="AU274" s="74"/>
      <c r="AV274" s="74"/>
      <c r="AW274" s="74"/>
      <c r="AX274" s="74"/>
      <c r="AY274" s="74"/>
      <c r="AZ274" s="74"/>
    </row>
    <row r="275">
      <c r="A275" s="71"/>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c r="AL275" s="74"/>
      <c r="AM275" s="74"/>
      <c r="AN275" s="74"/>
      <c r="AO275" s="74"/>
      <c r="AP275" s="74"/>
      <c r="AQ275" s="74"/>
      <c r="AR275" s="74"/>
      <c r="AS275" s="74"/>
      <c r="AT275" s="74"/>
      <c r="AU275" s="74"/>
      <c r="AV275" s="74"/>
      <c r="AW275" s="74"/>
      <c r="AX275" s="74"/>
      <c r="AY275" s="74"/>
      <c r="AZ275" s="74"/>
    </row>
    <row r="276">
      <c r="A276" s="71"/>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c r="AL276" s="74"/>
      <c r="AM276" s="74"/>
      <c r="AN276" s="74"/>
      <c r="AO276" s="74"/>
      <c r="AP276" s="74"/>
      <c r="AQ276" s="74"/>
      <c r="AR276" s="74"/>
      <c r="AS276" s="74"/>
      <c r="AT276" s="74"/>
      <c r="AU276" s="74"/>
      <c r="AV276" s="74"/>
      <c r="AW276" s="74"/>
      <c r="AX276" s="74"/>
      <c r="AY276" s="74"/>
      <c r="AZ276" s="74"/>
    </row>
    <row r="277">
      <c r="A277" s="71"/>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c r="AN277" s="74"/>
      <c r="AO277" s="74"/>
      <c r="AP277" s="74"/>
      <c r="AQ277" s="74"/>
      <c r="AR277" s="74"/>
      <c r="AS277" s="74"/>
      <c r="AT277" s="74"/>
      <c r="AU277" s="74"/>
      <c r="AV277" s="74"/>
      <c r="AW277" s="74"/>
      <c r="AX277" s="74"/>
      <c r="AY277" s="74"/>
      <c r="AZ277" s="74"/>
    </row>
    <row r="278">
      <c r="A278" s="71"/>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c r="AJ278" s="74"/>
      <c r="AK278" s="74"/>
      <c r="AL278" s="74"/>
      <c r="AM278" s="74"/>
      <c r="AN278" s="74"/>
      <c r="AO278" s="74"/>
      <c r="AP278" s="74"/>
      <c r="AQ278" s="74"/>
      <c r="AR278" s="74"/>
      <c r="AS278" s="74"/>
      <c r="AT278" s="74"/>
      <c r="AU278" s="74"/>
      <c r="AV278" s="74"/>
      <c r="AW278" s="74"/>
      <c r="AX278" s="74"/>
      <c r="AY278" s="74"/>
      <c r="AZ278" s="74"/>
    </row>
    <row r="279">
      <c r="A279" s="71"/>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c r="AJ279" s="74"/>
      <c r="AK279" s="74"/>
      <c r="AL279" s="74"/>
      <c r="AM279" s="74"/>
      <c r="AN279" s="74"/>
      <c r="AO279" s="74"/>
      <c r="AP279" s="74"/>
      <c r="AQ279" s="74"/>
      <c r="AR279" s="74"/>
      <c r="AS279" s="74"/>
      <c r="AT279" s="74"/>
      <c r="AU279" s="74"/>
      <c r="AV279" s="74"/>
      <c r="AW279" s="74"/>
      <c r="AX279" s="74"/>
      <c r="AY279" s="74"/>
      <c r="AZ279" s="74"/>
    </row>
    <row r="280">
      <c r="A280" s="71"/>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c r="AL280" s="74"/>
      <c r="AM280" s="74"/>
      <c r="AN280" s="74"/>
      <c r="AO280" s="74"/>
      <c r="AP280" s="74"/>
      <c r="AQ280" s="74"/>
      <c r="AR280" s="74"/>
      <c r="AS280" s="74"/>
      <c r="AT280" s="74"/>
      <c r="AU280" s="74"/>
      <c r="AV280" s="74"/>
      <c r="AW280" s="74"/>
      <c r="AX280" s="74"/>
      <c r="AY280" s="74"/>
      <c r="AZ280" s="74"/>
    </row>
    <row r="281">
      <c r="A281" s="71"/>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c r="AL281" s="74"/>
      <c r="AM281" s="74"/>
      <c r="AN281" s="74"/>
      <c r="AO281" s="74"/>
      <c r="AP281" s="74"/>
      <c r="AQ281" s="74"/>
      <c r="AR281" s="74"/>
      <c r="AS281" s="74"/>
      <c r="AT281" s="74"/>
      <c r="AU281" s="74"/>
      <c r="AV281" s="74"/>
      <c r="AW281" s="74"/>
      <c r="AX281" s="74"/>
      <c r="AY281" s="74"/>
      <c r="AZ281" s="74"/>
    </row>
    <row r="282">
      <c r="A282" s="71"/>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c r="AL282" s="74"/>
      <c r="AM282" s="74"/>
      <c r="AN282" s="74"/>
      <c r="AO282" s="74"/>
      <c r="AP282" s="74"/>
      <c r="AQ282" s="74"/>
      <c r="AR282" s="74"/>
      <c r="AS282" s="74"/>
      <c r="AT282" s="74"/>
      <c r="AU282" s="74"/>
      <c r="AV282" s="74"/>
      <c r="AW282" s="74"/>
      <c r="AX282" s="74"/>
      <c r="AY282" s="74"/>
      <c r="AZ282" s="74"/>
    </row>
    <row r="283">
      <c r="A283" s="71"/>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c r="AM283" s="74"/>
      <c r="AN283" s="74"/>
      <c r="AO283" s="74"/>
      <c r="AP283" s="74"/>
      <c r="AQ283" s="74"/>
      <c r="AR283" s="74"/>
      <c r="AS283" s="74"/>
      <c r="AT283" s="74"/>
      <c r="AU283" s="74"/>
      <c r="AV283" s="74"/>
      <c r="AW283" s="74"/>
      <c r="AX283" s="74"/>
      <c r="AY283" s="74"/>
      <c r="AZ283" s="74"/>
    </row>
    <row r="284">
      <c r="A284" s="71"/>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c r="AM284" s="74"/>
      <c r="AN284" s="74"/>
      <c r="AO284" s="74"/>
      <c r="AP284" s="74"/>
      <c r="AQ284" s="74"/>
      <c r="AR284" s="74"/>
      <c r="AS284" s="74"/>
      <c r="AT284" s="74"/>
      <c r="AU284" s="74"/>
      <c r="AV284" s="74"/>
      <c r="AW284" s="74"/>
      <c r="AX284" s="74"/>
      <c r="AY284" s="74"/>
      <c r="AZ284" s="74"/>
    </row>
    <row r="285">
      <c r="A285" s="71"/>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c r="AL285" s="74"/>
      <c r="AM285" s="74"/>
      <c r="AN285" s="74"/>
      <c r="AO285" s="74"/>
      <c r="AP285" s="74"/>
      <c r="AQ285" s="74"/>
      <c r="AR285" s="74"/>
      <c r="AS285" s="74"/>
      <c r="AT285" s="74"/>
      <c r="AU285" s="74"/>
      <c r="AV285" s="74"/>
      <c r="AW285" s="74"/>
      <c r="AX285" s="74"/>
      <c r="AY285" s="74"/>
      <c r="AZ285" s="74"/>
    </row>
    <row r="286">
      <c r="A286" s="71"/>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c r="AL286" s="74"/>
      <c r="AM286" s="74"/>
      <c r="AN286" s="74"/>
      <c r="AO286" s="74"/>
      <c r="AP286" s="74"/>
      <c r="AQ286" s="74"/>
      <c r="AR286" s="74"/>
      <c r="AS286" s="74"/>
      <c r="AT286" s="74"/>
      <c r="AU286" s="74"/>
      <c r="AV286" s="74"/>
      <c r="AW286" s="74"/>
      <c r="AX286" s="74"/>
      <c r="AY286" s="74"/>
      <c r="AZ286" s="74"/>
    </row>
    <row r="287">
      <c r="A287" s="71"/>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c r="AN287" s="74"/>
      <c r="AO287" s="74"/>
      <c r="AP287" s="74"/>
      <c r="AQ287" s="74"/>
      <c r="AR287" s="74"/>
      <c r="AS287" s="74"/>
      <c r="AT287" s="74"/>
      <c r="AU287" s="74"/>
      <c r="AV287" s="74"/>
      <c r="AW287" s="74"/>
      <c r="AX287" s="74"/>
      <c r="AY287" s="74"/>
      <c r="AZ287" s="74"/>
    </row>
    <row r="288">
      <c r="A288" s="71"/>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c r="AJ288" s="74"/>
      <c r="AK288" s="74"/>
      <c r="AL288" s="74"/>
      <c r="AM288" s="74"/>
      <c r="AN288" s="74"/>
      <c r="AO288" s="74"/>
      <c r="AP288" s="74"/>
      <c r="AQ288" s="74"/>
      <c r="AR288" s="74"/>
      <c r="AS288" s="74"/>
      <c r="AT288" s="74"/>
      <c r="AU288" s="74"/>
      <c r="AV288" s="74"/>
      <c r="AW288" s="74"/>
      <c r="AX288" s="74"/>
      <c r="AY288" s="74"/>
      <c r="AZ288" s="74"/>
    </row>
    <row r="289">
      <c r="A289" s="71"/>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c r="AJ289" s="74"/>
      <c r="AK289" s="74"/>
      <c r="AL289" s="74"/>
      <c r="AM289" s="74"/>
      <c r="AN289" s="74"/>
      <c r="AO289" s="74"/>
      <c r="AP289" s="74"/>
      <c r="AQ289" s="74"/>
      <c r="AR289" s="74"/>
      <c r="AS289" s="74"/>
      <c r="AT289" s="74"/>
      <c r="AU289" s="74"/>
      <c r="AV289" s="74"/>
      <c r="AW289" s="74"/>
      <c r="AX289" s="74"/>
      <c r="AY289" s="74"/>
      <c r="AZ289" s="74"/>
    </row>
    <row r="290">
      <c r="A290" s="71"/>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c r="AL290" s="74"/>
      <c r="AM290" s="74"/>
      <c r="AN290" s="74"/>
      <c r="AO290" s="74"/>
      <c r="AP290" s="74"/>
      <c r="AQ290" s="74"/>
      <c r="AR290" s="74"/>
      <c r="AS290" s="74"/>
      <c r="AT290" s="74"/>
      <c r="AU290" s="74"/>
      <c r="AV290" s="74"/>
      <c r="AW290" s="74"/>
      <c r="AX290" s="74"/>
      <c r="AY290" s="74"/>
      <c r="AZ290" s="74"/>
    </row>
    <row r="291">
      <c r="A291" s="71"/>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c r="AL291" s="74"/>
      <c r="AM291" s="74"/>
      <c r="AN291" s="74"/>
      <c r="AO291" s="74"/>
      <c r="AP291" s="74"/>
      <c r="AQ291" s="74"/>
      <c r="AR291" s="74"/>
      <c r="AS291" s="74"/>
      <c r="AT291" s="74"/>
      <c r="AU291" s="74"/>
      <c r="AV291" s="74"/>
      <c r="AW291" s="74"/>
      <c r="AX291" s="74"/>
      <c r="AY291" s="74"/>
      <c r="AZ291" s="74"/>
    </row>
    <row r="292">
      <c r="A292" s="71"/>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c r="AM292" s="74"/>
      <c r="AN292" s="74"/>
      <c r="AO292" s="74"/>
      <c r="AP292" s="74"/>
      <c r="AQ292" s="74"/>
      <c r="AR292" s="74"/>
      <c r="AS292" s="74"/>
      <c r="AT292" s="74"/>
      <c r="AU292" s="74"/>
      <c r="AV292" s="74"/>
      <c r="AW292" s="74"/>
      <c r="AX292" s="74"/>
      <c r="AY292" s="74"/>
      <c r="AZ292" s="74"/>
    </row>
    <row r="293">
      <c r="A293" s="71"/>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c r="AL293" s="74"/>
      <c r="AM293" s="74"/>
      <c r="AN293" s="74"/>
      <c r="AO293" s="74"/>
      <c r="AP293" s="74"/>
      <c r="AQ293" s="74"/>
      <c r="AR293" s="74"/>
      <c r="AS293" s="74"/>
      <c r="AT293" s="74"/>
      <c r="AU293" s="74"/>
      <c r="AV293" s="74"/>
      <c r="AW293" s="74"/>
      <c r="AX293" s="74"/>
      <c r="AY293" s="74"/>
      <c r="AZ293" s="74"/>
    </row>
    <row r="294">
      <c r="A294" s="71"/>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c r="AL294" s="74"/>
      <c r="AM294" s="74"/>
      <c r="AN294" s="74"/>
      <c r="AO294" s="74"/>
      <c r="AP294" s="74"/>
      <c r="AQ294" s="74"/>
      <c r="AR294" s="74"/>
      <c r="AS294" s="74"/>
      <c r="AT294" s="74"/>
      <c r="AU294" s="74"/>
      <c r="AV294" s="74"/>
      <c r="AW294" s="74"/>
      <c r="AX294" s="74"/>
      <c r="AY294" s="74"/>
      <c r="AZ294" s="74"/>
    </row>
    <row r="295">
      <c r="A295" s="71"/>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c r="AL295" s="74"/>
      <c r="AM295" s="74"/>
      <c r="AN295" s="74"/>
      <c r="AO295" s="74"/>
      <c r="AP295" s="74"/>
      <c r="AQ295" s="74"/>
      <c r="AR295" s="74"/>
      <c r="AS295" s="74"/>
      <c r="AT295" s="74"/>
      <c r="AU295" s="74"/>
      <c r="AV295" s="74"/>
      <c r="AW295" s="74"/>
      <c r="AX295" s="74"/>
      <c r="AY295" s="74"/>
      <c r="AZ295" s="74"/>
    </row>
    <row r="296">
      <c r="A296" s="71"/>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c r="AJ296" s="74"/>
      <c r="AK296" s="74"/>
      <c r="AL296" s="74"/>
      <c r="AM296" s="74"/>
      <c r="AN296" s="74"/>
      <c r="AO296" s="74"/>
      <c r="AP296" s="74"/>
      <c r="AQ296" s="74"/>
      <c r="AR296" s="74"/>
      <c r="AS296" s="74"/>
      <c r="AT296" s="74"/>
      <c r="AU296" s="74"/>
      <c r="AV296" s="74"/>
      <c r="AW296" s="74"/>
      <c r="AX296" s="74"/>
      <c r="AY296" s="74"/>
      <c r="AZ296" s="74"/>
    </row>
    <row r="297">
      <c r="A297" s="71"/>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c r="AJ297" s="74"/>
      <c r="AK297" s="74"/>
      <c r="AL297" s="74"/>
      <c r="AM297" s="74"/>
      <c r="AN297" s="74"/>
      <c r="AO297" s="74"/>
      <c r="AP297" s="74"/>
      <c r="AQ297" s="74"/>
      <c r="AR297" s="74"/>
      <c r="AS297" s="74"/>
      <c r="AT297" s="74"/>
      <c r="AU297" s="74"/>
      <c r="AV297" s="74"/>
      <c r="AW297" s="74"/>
      <c r="AX297" s="74"/>
      <c r="AY297" s="74"/>
      <c r="AZ297" s="74"/>
    </row>
    <row r="298">
      <c r="A298" s="71"/>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c r="AL298" s="74"/>
      <c r="AM298" s="74"/>
      <c r="AN298" s="74"/>
      <c r="AO298" s="74"/>
      <c r="AP298" s="74"/>
      <c r="AQ298" s="74"/>
      <c r="AR298" s="74"/>
      <c r="AS298" s="74"/>
      <c r="AT298" s="74"/>
      <c r="AU298" s="74"/>
      <c r="AV298" s="74"/>
      <c r="AW298" s="74"/>
      <c r="AX298" s="74"/>
      <c r="AY298" s="74"/>
      <c r="AZ298" s="74"/>
    </row>
    <row r="299">
      <c r="A299" s="71"/>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c r="AL299" s="74"/>
      <c r="AM299" s="74"/>
      <c r="AN299" s="74"/>
      <c r="AO299" s="74"/>
      <c r="AP299" s="74"/>
      <c r="AQ299" s="74"/>
      <c r="AR299" s="74"/>
      <c r="AS299" s="74"/>
      <c r="AT299" s="74"/>
      <c r="AU299" s="74"/>
      <c r="AV299" s="74"/>
      <c r="AW299" s="74"/>
      <c r="AX299" s="74"/>
      <c r="AY299" s="74"/>
      <c r="AZ299" s="74"/>
    </row>
    <row r="300">
      <c r="A300" s="71"/>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c r="AL300" s="74"/>
      <c r="AM300" s="74"/>
      <c r="AN300" s="74"/>
      <c r="AO300" s="74"/>
      <c r="AP300" s="74"/>
      <c r="AQ300" s="74"/>
      <c r="AR300" s="74"/>
      <c r="AS300" s="74"/>
      <c r="AT300" s="74"/>
      <c r="AU300" s="74"/>
      <c r="AV300" s="74"/>
      <c r="AW300" s="74"/>
      <c r="AX300" s="74"/>
      <c r="AY300" s="74"/>
      <c r="AZ300" s="74"/>
    </row>
    <row r="301">
      <c r="A301" s="71"/>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c r="AM301" s="74"/>
      <c r="AN301" s="74"/>
      <c r="AO301" s="74"/>
      <c r="AP301" s="74"/>
      <c r="AQ301" s="74"/>
      <c r="AR301" s="74"/>
      <c r="AS301" s="74"/>
      <c r="AT301" s="74"/>
      <c r="AU301" s="74"/>
      <c r="AV301" s="74"/>
      <c r="AW301" s="74"/>
      <c r="AX301" s="74"/>
      <c r="AY301" s="74"/>
      <c r="AZ301" s="74"/>
    </row>
    <row r="302">
      <c r="A302" s="71"/>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c r="AM302" s="74"/>
      <c r="AN302" s="74"/>
      <c r="AO302" s="74"/>
      <c r="AP302" s="74"/>
      <c r="AQ302" s="74"/>
      <c r="AR302" s="74"/>
      <c r="AS302" s="74"/>
      <c r="AT302" s="74"/>
      <c r="AU302" s="74"/>
      <c r="AV302" s="74"/>
      <c r="AW302" s="74"/>
      <c r="AX302" s="74"/>
      <c r="AY302" s="74"/>
      <c r="AZ302" s="74"/>
    </row>
    <row r="303">
      <c r="A303" s="71"/>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c r="AL303" s="74"/>
      <c r="AM303" s="74"/>
      <c r="AN303" s="74"/>
      <c r="AO303" s="74"/>
      <c r="AP303" s="74"/>
      <c r="AQ303" s="74"/>
      <c r="AR303" s="74"/>
      <c r="AS303" s="74"/>
      <c r="AT303" s="74"/>
      <c r="AU303" s="74"/>
      <c r="AV303" s="74"/>
      <c r="AW303" s="74"/>
      <c r="AX303" s="74"/>
      <c r="AY303" s="74"/>
      <c r="AZ303" s="74"/>
    </row>
    <row r="304">
      <c r="A304" s="71"/>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c r="AL304" s="74"/>
      <c r="AM304" s="74"/>
      <c r="AN304" s="74"/>
      <c r="AO304" s="74"/>
      <c r="AP304" s="74"/>
      <c r="AQ304" s="74"/>
      <c r="AR304" s="74"/>
      <c r="AS304" s="74"/>
      <c r="AT304" s="74"/>
      <c r="AU304" s="74"/>
      <c r="AV304" s="74"/>
      <c r="AW304" s="74"/>
      <c r="AX304" s="74"/>
      <c r="AY304" s="74"/>
      <c r="AZ304" s="74"/>
    </row>
    <row r="305">
      <c r="A305" s="71"/>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c r="AL305" s="74"/>
      <c r="AM305" s="74"/>
      <c r="AN305" s="74"/>
      <c r="AO305" s="74"/>
      <c r="AP305" s="74"/>
      <c r="AQ305" s="74"/>
      <c r="AR305" s="74"/>
      <c r="AS305" s="74"/>
      <c r="AT305" s="74"/>
      <c r="AU305" s="74"/>
      <c r="AV305" s="74"/>
      <c r="AW305" s="74"/>
      <c r="AX305" s="74"/>
      <c r="AY305" s="74"/>
      <c r="AZ305" s="74"/>
    </row>
    <row r="306">
      <c r="A306" s="71"/>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c r="AJ306" s="74"/>
      <c r="AK306" s="74"/>
      <c r="AL306" s="74"/>
      <c r="AM306" s="74"/>
      <c r="AN306" s="74"/>
      <c r="AO306" s="74"/>
      <c r="AP306" s="74"/>
      <c r="AQ306" s="74"/>
      <c r="AR306" s="74"/>
      <c r="AS306" s="74"/>
      <c r="AT306" s="74"/>
      <c r="AU306" s="74"/>
      <c r="AV306" s="74"/>
      <c r="AW306" s="74"/>
      <c r="AX306" s="74"/>
      <c r="AY306" s="74"/>
      <c r="AZ306" s="74"/>
    </row>
    <row r="307">
      <c r="A307" s="71"/>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c r="AJ307" s="74"/>
      <c r="AK307" s="74"/>
      <c r="AL307" s="74"/>
      <c r="AM307" s="74"/>
      <c r="AN307" s="74"/>
      <c r="AO307" s="74"/>
      <c r="AP307" s="74"/>
      <c r="AQ307" s="74"/>
      <c r="AR307" s="74"/>
      <c r="AS307" s="74"/>
      <c r="AT307" s="74"/>
      <c r="AU307" s="74"/>
      <c r="AV307" s="74"/>
      <c r="AW307" s="74"/>
      <c r="AX307" s="74"/>
      <c r="AY307" s="74"/>
      <c r="AZ307" s="74"/>
    </row>
    <row r="308">
      <c r="A308" s="71"/>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c r="AL308" s="74"/>
      <c r="AM308" s="74"/>
      <c r="AN308" s="74"/>
      <c r="AO308" s="74"/>
      <c r="AP308" s="74"/>
      <c r="AQ308" s="74"/>
      <c r="AR308" s="74"/>
      <c r="AS308" s="74"/>
      <c r="AT308" s="74"/>
      <c r="AU308" s="74"/>
      <c r="AV308" s="74"/>
      <c r="AW308" s="74"/>
      <c r="AX308" s="74"/>
      <c r="AY308" s="74"/>
      <c r="AZ308" s="74"/>
    </row>
    <row r="309">
      <c r="A309" s="71"/>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c r="AL309" s="74"/>
      <c r="AM309" s="74"/>
      <c r="AN309" s="74"/>
      <c r="AO309" s="74"/>
      <c r="AP309" s="74"/>
      <c r="AQ309" s="74"/>
      <c r="AR309" s="74"/>
      <c r="AS309" s="74"/>
      <c r="AT309" s="74"/>
      <c r="AU309" s="74"/>
      <c r="AV309" s="74"/>
      <c r="AW309" s="74"/>
      <c r="AX309" s="74"/>
      <c r="AY309" s="74"/>
      <c r="AZ309" s="74"/>
    </row>
    <row r="310">
      <c r="A310" s="71"/>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c r="AM310" s="74"/>
      <c r="AN310" s="74"/>
      <c r="AO310" s="74"/>
      <c r="AP310" s="74"/>
      <c r="AQ310" s="74"/>
      <c r="AR310" s="74"/>
      <c r="AS310" s="74"/>
      <c r="AT310" s="74"/>
      <c r="AU310" s="74"/>
      <c r="AV310" s="74"/>
      <c r="AW310" s="74"/>
      <c r="AX310" s="74"/>
      <c r="AY310" s="74"/>
      <c r="AZ310" s="74"/>
    </row>
    <row r="311">
      <c r="A311" s="71"/>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c r="AL311" s="74"/>
      <c r="AM311" s="74"/>
      <c r="AN311" s="74"/>
      <c r="AO311" s="74"/>
      <c r="AP311" s="74"/>
      <c r="AQ311" s="74"/>
      <c r="AR311" s="74"/>
      <c r="AS311" s="74"/>
      <c r="AT311" s="74"/>
      <c r="AU311" s="74"/>
      <c r="AV311" s="74"/>
      <c r="AW311" s="74"/>
      <c r="AX311" s="74"/>
      <c r="AY311" s="74"/>
      <c r="AZ311" s="74"/>
    </row>
    <row r="312">
      <c r="A312" s="71"/>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c r="AL312" s="74"/>
      <c r="AM312" s="74"/>
      <c r="AN312" s="74"/>
      <c r="AO312" s="74"/>
      <c r="AP312" s="74"/>
      <c r="AQ312" s="74"/>
      <c r="AR312" s="74"/>
      <c r="AS312" s="74"/>
      <c r="AT312" s="74"/>
      <c r="AU312" s="74"/>
      <c r="AV312" s="74"/>
      <c r="AW312" s="74"/>
      <c r="AX312" s="74"/>
      <c r="AY312" s="74"/>
      <c r="AZ312" s="74"/>
    </row>
    <row r="313">
      <c r="A313" s="71"/>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c r="AL313" s="74"/>
      <c r="AM313" s="74"/>
      <c r="AN313" s="74"/>
      <c r="AO313" s="74"/>
      <c r="AP313" s="74"/>
      <c r="AQ313" s="74"/>
      <c r="AR313" s="74"/>
      <c r="AS313" s="74"/>
      <c r="AT313" s="74"/>
      <c r="AU313" s="74"/>
      <c r="AV313" s="74"/>
      <c r="AW313" s="74"/>
      <c r="AX313" s="74"/>
      <c r="AY313" s="74"/>
      <c r="AZ313" s="74"/>
    </row>
    <row r="314">
      <c r="A314" s="71"/>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c r="AM314" s="74"/>
      <c r="AN314" s="74"/>
      <c r="AO314" s="74"/>
      <c r="AP314" s="74"/>
      <c r="AQ314" s="74"/>
      <c r="AR314" s="74"/>
      <c r="AS314" s="74"/>
      <c r="AT314" s="74"/>
      <c r="AU314" s="74"/>
      <c r="AV314" s="74"/>
      <c r="AW314" s="74"/>
      <c r="AX314" s="74"/>
      <c r="AY314" s="74"/>
      <c r="AZ314" s="74"/>
    </row>
    <row r="315">
      <c r="A315" s="71"/>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c r="AM315" s="74"/>
      <c r="AN315" s="74"/>
      <c r="AO315" s="74"/>
      <c r="AP315" s="74"/>
      <c r="AQ315" s="74"/>
      <c r="AR315" s="74"/>
      <c r="AS315" s="74"/>
      <c r="AT315" s="74"/>
      <c r="AU315" s="74"/>
      <c r="AV315" s="74"/>
      <c r="AW315" s="74"/>
      <c r="AX315" s="74"/>
      <c r="AY315" s="74"/>
      <c r="AZ315" s="74"/>
    </row>
    <row r="316">
      <c r="A316" s="71"/>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c r="AN316" s="74"/>
      <c r="AO316" s="74"/>
      <c r="AP316" s="74"/>
      <c r="AQ316" s="74"/>
      <c r="AR316" s="74"/>
      <c r="AS316" s="74"/>
      <c r="AT316" s="74"/>
      <c r="AU316" s="74"/>
      <c r="AV316" s="74"/>
      <c r="AW316" s="74"/>
      <c r="AX316" s="74"/>
      <c r="AY316" s="74"/>
      <c r="AZ316" s="74"/>
    </row>
    <row r="317">
      <c r="A317" s="71"/>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c r="AL317" s="74"/>
      <c r="AM317" s="74"/>
      <c r="AN317" s="74"/>
      <c r="AO317" s="74"/>
      <c r="AP317" s="74"/>
      <c r="AQ317" s="74"/>
      <c r="AR317" s="74"/>
      <c r="AS317" s="74"/>
      <c r="AT317" s="74"/>
      <c r="AU317" s="74"/>
      <c r="AV317" s="74"/>
      <c r="AW317" s="74"/>
      <c r="AX317" s="74"/>
      <c r="AY317" s="74"/>
      <c r="AZ317" s="74"/>
    </row>
    <row r="318">
      <c r="A318" s="71"/>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c r="AJ318" s="74"/>
      <c r="AK318" s="74"/>
      <c r="AL318" s="74"/>
      <c r="AM318" s="74"/>
      <c r="AN318" s="74"/>
      <c r="AO318" s="74"/>
      <c r="AP318" s="74"/>
      <c r="AQ318" s="74"/>
      <c r="AR318" s="74"/>
      <c r="AS318" s="74"/>
      <c r="AT318" s="74"/>
      <c r="AU318" s="74"/>
      <c r="AV318" s="74"/>
      <c r="AW318" s="74"/>
      <c r="AX318" s="74"/>
      <c r="AY318" s="74"/>
      <c r="AZ318" s="74"/>
    </row>
    <row r="319">
      <c r="A319" s="71"/>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row>
    <row r="320">
      <c r="A320" s="71"/>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c r="AL320" s="74"/>
      <c r="AM320" s="74"/>
      <c r="AN320" s="74"/>
      <c r="AO320" s="74"/>
      <c r="AP320" s="74"/>
      <c r="AQ320" s="74"/>
      <c r="AR320" s="74"/>
      <c r="AS320" s="74"/>
      <c r="AT320" s="74"/>
      <c r="AU320" s="74"/>
      <c r="AV320" s="74"/>
      <c r="AW320" s="74"/>
      <c r="AX320" s="74"/>
      <c r="AY320" s="74"/>
      <c r="AZ320" s="74"/>
    </row>
    <row r="321">
      <c r="A321" s="71"/>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c r="AL321" s="74"/>
      <c r="AM321" s="74"/>
      <c r="AN321" s="74"/>
      <c r="AO321" s="74"/>
      <c r="AP321" s="74"/>
      <c r="AQ321" s="74"/>
      <c r="AR321" s="74"/>
      <c r="AS321" s="74"/>
      <c r="AT321" s="74"/>
      <c r="AU321" s="74"/>
      <c r="AV321" s="74"/>
      <c r="AW321" s="74"/>
      <c r="AX321" s="74"/>
      <c r="AY321" s="74"/>
      <c r="AZ321" s="74"/>
    </row>
    <row r="322">
      <c r="A322" s="71"/>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c r="AL322" s="74"/>
      <c r="AM322" s="74"/>
      <c r="AN322" s="74"/>
      <c r="AO322" s="74"/>
      <c r="AP322" s="74"/>
      <c r="AQ322" s="74"/>
      <c r="AR322" s="74"/>
      <c r="AS322" s="74"/>
      <c r="AT322" s="74"/>
      <c r="AU322" s="74"/>
      <c r="AV322" s="74"/>
      <c r="AW322" s="74"/>
      <c r="AX322" s="74"/>
      <c r="AY322" s="74"/>
      <c r="AZ322" s="74"/>
    </row>
    <row r="323">
      <c r="A323" s="71"/>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c r="AL323" s="74"/>
      <c r="AM323" s="74"/>
      <c r="AN323" s="74"/>
      <c r="AO323" s="74"/>
      <c r="AP323" s="74"/>
      <c r="AQ323" s="74"/>
      <c r="AR323" s="74"/>
      <c r="AS323" s="74"/>
      <c r="AT323" s="74"/>
      <c r="AU323" s="74"/>
      <c r="AV323" s="74"/>
      <c r="AW323" s="74"/>
      <c r="AX323" s="74"/>
      <c r="AY323" s="74"/>
      <c r="AZ323" s="74"/>
    </row>
    <row r="324">
      <c r="A324" s="71"/>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c r="AJ324" s="74"/>
      <c r="AK324" s="74"/>
      <c r="AL324" s="74"/>
      <c r="AM324" s="74"/>
      <c r="AN324" s="74"/>
      <c r="AO324" s="74"/>
      <c r="AP324" s="74"/>
      <c r="AQ324" s="74"/>
      <c r="AR324" s="74"/>
      <c r="AS324" s="74"/>
      <c r="AT324" s="74"/>
      <c r="AU324" s="74"/>
      <c r="AV324" s="74"/>
      <c r="AW324" s="74"/>
      <c r="AX324" s="74"/>
      <c r="AY324" s="74"/>
      <c r="AZ324" s="74"/>
    </row>
    <row r="325">
      <c r="A325" s="71"/>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c r="AL325" s="74"/>
      <c r="AM325" s="74"/>
      <c r="AN325" s="74"/>
      <c r="AO325" s="74"/>
      <c r="AP325" s="74"/>
      <c r="AQ325" s="74"/>
      <c r="AR325" s="74"/>
      <c r="AS325" s="74"/>
      <c r="AT325" s="74"/>
      <c r="AU325" s="74"/>
      <c r="AV325" s="74"/>
      <c r="AW325" s="74"/>
      <c r="AX325" s="74"/>
      <c r="AY325" s="74"/>
      <c r="AZ325" s="74"/>
    </row>
    <row r="326">
      <c r="A326" s="71"/>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c r="AL326" s="74"/>
      <c r="AM326" s="74"/>
      <c r="AN326" s="74"/>
      <c r="AO326" s="74"/>
      <c r="AP326" s="74"/>
      <c r="AQ326" s="74"/>
      <c r="AR326" s="74"/>
      <c r="AS326" s="74"/>
      <c r="AT326" s="74"/>
      <c r="AU326" s="74"/>
      <c r="AV326" s="74"/>
      <c r="AW326" s="74"/>
      <c r="AX326" s="74"/>
      <c r="AY326" s="74"/>
      <c r="AZ326" s="74"/>
    </row>
    <row r="327">
      <c r="A327" s="71"/>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c r="AL327" s="74"/>
      <c r="AM327" s="74"/>
      <c r="AN327" s="74"/>
      <c r="AO327" s="74"/>
      <c r="AP327" s="74"/>
      <c r="AQ327" s="74"/>
      <c r="AR327" s="74"/>
      <c r="AS327" s="74"/>
      <c r="AT327" s="74"/>
      <c r="AU327" s="74"/>
      <c r="AV327" s="74"/>
      <c r="AW327" s="74"/>
      <c r="AX327" s="74"/>
      <c r="AY327" s="74"/>
      <c r="AZ327" s="74"/>
    </row>
    <row r="328">
      <c r="A328" s="71"/>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c r="AM328" s="74"/>
      <c r="AN328" s="74"/>
      <c r="AO328" s="74"/>
      <c r="AP328" s="74"/>
      <c r="AQ328" s="74"/>
      <c r="AR328" s="74"/>
      <c r="AS328" s="74"/>
      <c r="AT328" s="74"/>
      <c r="AU328" s="74"/>
      <c r="AV328" s="74"/>
      <c r="AW328" s="74"/>
      <c r="AX328" s="74"/>
      <c r="AY328" s="74"/>
      <c r="AZ328" s="74"/>
    </row>
    <row r="329">
      <c r="A329" s="71"/>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c r="AL329" s="74"/>
      <c r="AM329" s="74"/>
      <c r="AN329" s="74"/>
      <c r="AO329" s="74"/>
      <c r="AP329" s="74"/>
      <c r="AQ329" s="74"/>
      <c r="AR329" s="74"/>
      <c r="AS329" s="74"/>
      <c r="AT329" s="74"/>
      <c r="AU329" s="74"/>
      <c r="AV329" s="74"/>
      <c r="AW329" s="74"/>
      <c r="AX329" s="74"/>
      <c r="AY329" s="74"/>
      <c r="AZ329" s="74"/>
    </row>
    <row r="330">
      <c r="A330" s="71"/>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c r="AM330" s="74"/>
      <c r="AN330" s="74"/>
      <c r="AO330" s="74"/>
      <c r="AP330" s="74"/>
      <c r="AQ330" s="74"/>
      <c r="AR330" s="74"/>
      <c r="AS330" s="74"/>
      <c r="AT330" s="74"/>
      <c r="AU330" s="74"/>
      <c r="AV330" s="74"/>
      <c r="AW330" s="74"/>
      <c r="AX330" s="74"/>
      <c r="AY330" s="74"/>
      <c r="AZ330" s="74"/>
    </row>
    <row r="331">
      <c r="A331" s="71"/>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c r="AL331" s="74"/>
      <c r="AM331" s="74"/>
      <c r="AN331" s="74"/>
      <c r="AO331" s="74"/>
      <c r="AP331" s="74"/>
      <c r="AQ331" s="74"/>
      <c r="AR331" s="74"/>
      <c r="AS331" s="74"/>
      <c r="AT331" s="74"/>
      <c r="AU331" s="74"/>
      <c r="AV331" s="74"/>
      <c r="AW331" s="74"/>
      <c r="AX331" s="74"/>
      <c r="AY331" s="74"/>
      <c r="AZ331" s="74"/>
    </row>
    <row r="332">
      <c r="A332" s="71"/>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c r="AM332" s="74"/>
      <c r="AN332" s="74"/>
      <c r="AO332" s="74"/>
      <c r="AP332" s="74"/>
      <c r="AQ332" s="74"/>
      <c r="AR332" s="74"/>
      <c r="AS332" s="74"/>
      <c r="AT332" s="74"/>
      <c r="AU332" s="74"/>
      <c r="AV332" s="74"/>
      <c r="AW332" s="74"/>
      <c r="AX332" s="74"/>
      <c r="AY332" s="74"/>
      <c r="AZ332" s="74"/>
    </row>
    <row r="333">
      <c r="A333" s="71"/>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c r="AM333" s="74"/>
      <c r="AN333" s="74"/>
      <c r="AO333" s="74"/>
      <c r="AP333" s="74"/>
      <c r="AQ333" s="74"/>
      <c r="AR333" s="74"/>
      <c r="AS333" s="74"/>
      <c r="AT333" s="74"/>
      <c r="AU333" s="74"/>
      <c r="AV333" s="74"/>
      <c r="AW333" s="74"/>
      <c r="AX333" s="74"/>
      <c r="AY333" s="74"/>
      <c r="AZ333" s="74"/>
    </row>
    <row r="334">
      <c r="A334" s="71"/>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c r="AL334" s="74"/>
      <c r="AM334" s="74"/>
      <c r="AN334" s="74"/>
      <c r="AO334" s="74"/>
      <c r="AP334" s="74"/>
      <c r="AQ334" s="74"/>
      <c r="AR334" s="74"/>
      <c r="AS334" s="74"/>
      <c r="AT334" s="74"/>
      <c r="AU334" s="74"/>
      <c r="AV334" s="74"/>
      <c r="AW334" s="74"/>
      <c r="AX334" s="74"/>
      <c r="AY334" s="74"/>
      <c r="AZ334" s="74"/>
    </row>
    <row r="335">
      <c r="A335" s="71"/>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c r="AL335" s="74"/>
      <c r="AM335" s="74"/>
      <c r="AN335" s="74"/>
      <c r="AO335" s="74"/>
      <c r="AP335" s="74"/>
      <c r="AQ335" s="74"/>
      <c r="AR335" s="74"/>
      <c r="AS335" s="74"/>
      <c r="AT335" s="74"/>
      <c r="AU335" s="74"/>
      <c r="AV335" s="74"/>
      <c r="AW335" s="74"/>
      <c r="AX335" s="74"/>
      <c r="AY335" s="74"/>
      <c r="AZ335" s="74"/>
    </row>
    <row r="336">
      <c r="A336" s="71"/>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c r="AJ336" s="74"/>
      <c r="AK336" s="74"/>
      <c r="AL336" s="74"/>
      <c r="AM336" s="74"/>
      <c r="AN336" s="74"/>
      <c r="AO336" s="74"/>
      <c r="AP336" s="74"/>
      <c r="AQ336" s="74"/>
      <c r="AR336" s="74"/>
      <c r="AS336" s="74"/>
      <c r="AT336" s="74"/>
      <c r="AU336" s="74"/>
      <c r="AV336" s="74"/>
      <c r="AW336" s="74"/>
      <c r="AX336" s="74"/>
      <c r="AY336" s="74"/>
      <c r="AZ336" s="74"/>
    </row>
    <row r="337">
      <c r="A337" s="71"/>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c r="AJ337" s="74"/>
      <c r="AK337" s="74"/>
      <c r="AL337" s="74"/>
      <c r="AM337" s="74"/>
      <c r="AN337" s="74"/>
      <c r="AO337" s="74"/>
      <c r="AP337" s="74"/>
      <c r="AQ337" s="74"/>
      <c r="AR337" s="74"/>
      <c r="AS337" s="74"/>
      <c r="AT337" s="74"/>
      <c r="AU337" s="74"/>
      <c r="AV337" s="74"/>
      <c r="AW337" s="74"/>
      <c r="AX337" s="74"/>
      <c r="AY337" s="74"/>
      <c r="AZ337" s="74"/>
    </row>
    <row r="338">
      <c r="A338" s="71"/>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c r="AN338" s="74"/>
      <c r="AO338" s="74"/>
      <c r="AP338" s="74"/>
      <c r="AQ338" s="74"/>
      <c r="AR338" s="74"/>
      <c r="AS338" s="74"/>
      <c r="AT338" s="74"/>
      <c r="AU338" s="74"/>
      <c r="AV338" s="74"/>
      <c r="AW338" s="74"/>
      <c r="AX338" s="74"/>
      <c r="AY338" s="74"/>
      <c r="AZ338" s="74"/>
    </row>
    <row r="339">
      <c r="A339" s="71"/>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c r="AL339" s="74"/>
      <c r="AM339" s="74"/>
      <c r="AN339" s="74"/>
      <c r="AO339" s="74"/>
      <c r="AP339" s="74"/>
      <c r="AQ339" s="74"/>
      <c r="AR339" s="74"/>
      <c r="AS339" s="74"/>
      <c r="AT339" s="74"/>
      <c r="AU339" s="74"/>
      <c r="AV339" s="74"/>
      <c r="AW339" s="74"/>
      <c r="AX339" s="74"/>
      <c r="AY339" s="74"/>
      <c r="AZ339" s="74"/>
    </row>
    <row r="340">
      <c r="A340" s="71"/>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c r="AL340" s="74"/>
      <c r="AM340" s="74"/>
      <c r="AN340" s="74"/>
      <c r="AO340" s="74"/>
      <c r="AP340" s="74"/>
      <c r="AQ340" s="74"/>
      <c r="AR340" s="74"/>
      <c r="AS340" s="74"/>
      <c r="AT340" s="74"/>
      <c r="AU340" s="74"/>
      <c r="AV340" s="74"/>
      <c r="AW340" s="74"/>
      <c r="AX340" s="74"/>
      <c r="AY340" s="74"/>
      <c r="AZ340" s="74"/>
    </row>
    <row r="341">
      <c r="A341" s="71"/>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c r="AL341" s="74"/>
      <c r="AM341" s="74"/>
      <c r="AN341" s="74"/>
      <c r="AO341" s="74"/>
      <c r="AP341" s="74"/>
      <c r="AQ341" s="74"/>
      <c r="AR341" s="74"/>
      <c r="AS341" s="74"/>
      <c r="AT341" s="74"/>
      <c r="AU341" s="74"/>
      <c r="AV341" s="74"/>
      <c r="AW341" s="74"/>
      <c r="AX341" s="74"/>
      <c r="AY341" s="74"/>
      <c r="AZ341" s="74"/>
    </row>
    <row r="342">
      <c r="A342" s="71"/>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c r="AL342" s="74"/>
      <c r="AM342" s="74"/>
      <c r="AN342" s="74"/>
      <c r="AO342" s="74"/>
      <c r="AP342" s="74"/>
      <c r="AQ342" s="74"/>
      <c r="AR342" s="74"/>
      <c r="AS342" s="74"/>
      <c r="AT342" s="74"/>
      <c r="AU342" s="74"/>
      <c r="AV342" s="74"/>
      <c r="AW342" s="74"/>
      <c r="AX342" s="74"/>
      <c r="AY342" s="74"/>
      <c r="AZ342" s="74"/>
    </row>
    <row r="343">
      <c r="A343" s="71"/>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c r="AL343" s="74"/>
      <c r="AM343" s="74"/>
      <c r="AN343" s="74"/>
      <c r="AO343" s="74"/>
      <c r="AP343" s="74"/>
      <c r="AQ343" s="74"/>
      <c r="AR343" s="74"/>
      <c r="AS343" s="74"/>
      <c r="AT343" s="74"/>
      <c r="AU343" s="74"/>
      <c r="AV343" s="74"/>
      <c r="AW343" s="74"/>
      <c r="AX343" s="74"/>
      <c r="AY343" s="74"/>
      <c r="AZ343" s="74"/>
    </row>
    <row r="344">
      <c r="A344" s="71"/>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c r="AL344" s="74"/>
      <c r="AM344" s="74"/>
      <c r="AN344" s="74"/>
      <c r="AO344" s="74"/>
      <c r="AP344" s="74"/>
      <c r="AQ344" s="74"/>
      <c r="AR344" s="74"/>
      <c r="AS344" s="74"/>
      <c r="AT344" s="74"/>
      <c r="AU344" s="74"/>
      <c r="AV344" s="74"/>
      <c r="AW344" s="74"/>
      <c r="AX344" s="74"/>
      <c r="AY344" s="74"/>
      <c r="AZ344" s="74"/>
    </row>
    <row r="345">
      <c r="A345" s="71"/>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c r="AJ345" s="74"/>
      <c r="AK345" s="74"/>
      <c r="AL345" s="74"/>
      <c r="AM345" s="74"/>
      <c r="AN345" s="74"/>
      <c r="AO345" s="74"/>
      <c r="AP345" s="74"/>
      <c r="AQ345" s="74"/>
      <c r="AR345" s="74"/>
      <c r="AS345" s="74"/>
      <c r="AT345" s="74"/>
      <c r="AU345" s="74"/>
      <c r="AV345" s="74"/>
      <c r="AW345" s="74"/>
      <c r="AX345" s="74"/>
      <c r="AY345" s="74"/>
      <c r="AZ345" s="74"/>
    </row>
    <row r="346">
      <c r="A346" s="71"/>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c r="AL346" s="74"/>
      <c r="AM346" s="74"/>
      <c r="AN346" s="74"/>
      <c r="AO346" s="74"/>
      <c r="AP346" s="74"/>
      <c r="AQ346" s="74"/>
      <c r="AR346" s="74"/>
      <c r="AS346" s="74"/>
      <c r="AT346" s="74"/>
      <c r="AU346" s="74"/>
      <c r="AV346" s="74"/>
      <c r="AW346" s="74"/>
      <c r="AX346" s="74"/>
      <c r="AY346" s="74"/>
      <c r="AZ346" s="74"/>
    </row>
    <row r="347">
      <c r="A347" s="71"/>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c r="AL347" s="74"/>
      <c r="AM347" s="74"/>
      <c r="AN347" s="74"/>
      <c r="AO347" s="74"/>
      <c r="AP347" s="74"/>
      <c r="AQ347" s="74"/>
      <c r="AR347" s="74"/>
      <c r="AS347" s="74"/>
      <c r="AT347" s="74"/>
      <c r="AU347" s="74"/>
      <c r="AV347" s="74"/>
      <c r="AW347" s="74"/>
      <c r="AX347" s="74"/>
      <c r="AY347" s="74"/>
      <c r="AZ347" s="74"/>
    </row>
    <row r="348">
      <c r="A348" s="71"/>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c r="AM348" s="74"/>
      <c r="AN348" s="74"/>
      <c r="AO348" s="74"/>
      <c r="AP348" s="74"/>
      <c r="AQ348" s="74"/>
      <c r="AR348" s="74"/>
      <c r="AS348" s="74"/>
      <c r="AT348" s="74"/>
      <c r="AU348" s="74"/>
      <c r="AV348" s="74"/>
      <c r="AW348" s="74"/>
      <c r="AX348" s="74"/>
      <c r="AY348" s="74"/>
      <c r="AZ348" s="74"/>
    </row>
    <row r="349">
      <c r="A349" s="71"/>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c r="AM349" s="74"/>
      <c r="AN349" s="74"/>
      <c r="AO349" s="74"/>
      <c r="AP349" s="74"/>
      <c r="AQ349" s="74"/>
      <c r="AR349" s="74"/>
      <c r="AS349" s="74"/>
      <c r="AT349" s="74"/>
      <c r="AU349" s="74"/>
      <c r="AV349" s="74"/>
      <c r="AW349" s="74"/>
      <c r="AX349" s="74"/>
      <c r="AY349" s="74"/>
      <c r="AZ349" s="74"/>
    </row>
    <row r="350">
      <c r="A350" s="71"/>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c r="AM350" s="74"/>
      <c r="AN350" s="74"/>
      <c r="AO350" s="74"/>
      <c r="AP350" s="74"/>
      <c r="AQ350" s="74"/>
      <c r="AR350" s="74"/>
      <c r="AS350" s="74"/>
      <c r="AT350" s="74"/>
      <c r="AU350" s="74"/>
      <c r="AV350" s="74"/>
      <c r="AW350" s="74"/>
      <c r="AX350" s="74"/>
      <c r="AY350" s="74"/>
      <c r="AZ350" s="74"/>
    </row>
    <row r="351">
      <c r="A351" s="71"/>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c r="AM351" s="74"/>
      <c r="AN351" s="74"/>
      <c r="AO351" s="74"/>
      <c r="AP351" s="74"/>
      <c r="AQ351" s="74"/>
      <c r="AR351" s="74"/>
      <c r="AS351" s="74"/>
      <c r="AT351" s="74"/>
      <c r="AU351" s="74"/>
      <c r="AV351" s="74"/>
      <c r="AW351" s="74"/>
      <c r="AX351" s="74"/>
      <c r="AY351" s="74"/>
      <c r="AZ351" s="74"/>
    </row>
    <row r="352">
      <c r="A352" s="71"/>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c r="AM352" s="74"/>
      <c r="AN352" s="74"/>
      <c r="AO352" s="74"/>
      <c r="AP352" s="74"/>
      <c r="AQ352" s="74"/>
      <c r="AR352" s="74"/>
      <c r="AS352" s="74"/>
      <c r="AT352" s="74"/>
      <c r="AU352" s="74"/>
      <c r="AV352" s="74"/>
      <c r="AW352" s="74"/>
      <c r="AX352" s="74"/>
      <c r="AY352" s="74"/>
      <c r="AZ352" s="74"/>
    </row>
    <row r="353">
      <c r="A353" s="71"/>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74"/>
      <c r="AP353" s="74"/>
      <c r="AQ353" s="74"/>
      <c r="AR353" s="74"/>
      <c r="AS353" s="74"/>
      <c r="AT353" s="74"/>
      <c r="AU353" s="74"/>
      <c r="AV353" s="74"/>
      <c r="AW353" s="74"/>
      <c r="AX353" s="74"/>
      <c r="AY353" s="74"/>
      <c r="AZ353" s="74"/>
    </row>
    <row r="354">
      <c r="A354" s="71"/>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c r="AM354" s="74"/>
      <c r="AN354" s="74"/>
      <c r="AO354" s="74"/>
      <c r="AP354" s="74"/>
      <c r="AQ354" s="74"/>
      <c r="AR354" s="74"/>
      <c r="AS354" s="74"/>
      <c r="AT354" s="74"/>
      <c r="AU354" s="74"/>
      <c r="AV354" s="74"/>
      <c r="AW354" s="74"/>
      <c r="AX354" s="74"/>
      <c r="AY354" s="74"/>
      <c r="AZ354" s="74"/>
    </row>
    <row r="355">
      <c r="A355" s="71"/>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4"/>
      <c r="AM355" s="74"/>
      <c r="AN355" s="74"/>
      <c r="AO355" s="74"/>
      <c r="AP355" s="74"/>
      <c r="AQ355" s="74"/>
      <c r="AR355" s="74"/>
      <c r="AS355" s="74"/>
      <c r="AT355" s="74"/>
      <c r="AU355" s="74"/>
      <c r="AV355" s="74"/>
      <c r="AW355" s="74"/>
      <c r="AX355" s="74"/>
      <c r="AY355" s="74"/>
      <c r="AZ355" s="74"/>
    </row>
    <row r="356">
      <c r="A356" s="71"/>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4"/>
      <c r="AM356" s="74"/>
      <c r="AN356" s="74"/>
      <c r="AO356" s="74"/>
      <c r="AP356" s="74"/>
      <c r="AQ356" s="74"/>
      <c r="AR356" s="74"/>
      <c r="AS356" s="74"/>
      <c r="AT356" s="74"/>
      <c r="AU356" s="74"/>
      <c r="AV356" s="74"/>
      <c r="AW356" s="74"/>
      <c r="AX356" s="74"/>
      <c r="AY356" s="74"/>
      <c r="AZ356" s="74"/>
    </row>
    <row r="357">
      <c r="A357" s="71"/>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c r="AM357" s="74"/>
      <c r="AN357" s="74"/>
      <c r="AO357" s="74"/>
      <c r="AP357" s="74"/>
      <c r="AQ357" s="74"/>
      <c r="AR357" s="74"/>
      <c r="AS357" s="74"/>
      <c r="AT357" s="74"/>
      <c r="AU357" s="74"/>
      <c r="AV357" s="74"/>
      <c r="AW357" s="74"/>
      <c r="AX357" s="74"/>
      <c r="AY357" s="74"/>
      <c r="AZ357" s="74"/>
    </row>
    <row r="358">
      <c r="A358" s="71"/>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c r="AM358" s="74"/>
      <c r="AN358" s="74"/>
      <c r="AO358" s="74"/>
      <c r="AP358" s="74"/>
      <c r="AQ358" s="74"/>
      <c r="AR358" s="74"/>
      <c r="AS358" s="74"/>
      <c r="AT358" s="74"/>
      <c r="AU358" s="74"/>
      <c r="AV358" s="74"/>
      <c r="AW358" s="74"/>
      <c r="AX358" s="74"/>
      <c r="AY358" s="74"/>
      <c r="AZ358" s="74"/>
    </row>
    <row r="359">
      <c r="A359" s="71"/>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4"/>
      <c r="AM359" s="74"/>
      <c r="AN359" s="74"/>
      <c r="AO359" s="74"/>
      <c r="AP359" s="74"/>
      <c r="AQ359" s="74"/>
      <c r="AR359" s="74"/>
      <c r="AS359" s="74"/>
      <c r="AT359" s="74"/>
      <c r="AU359" s="74"/>
      <c r="AV359" s="74"/>
      <c r="AW359" s="74"/>
      <c r="AX359" s="74"/>
      <c r="AY359" s="74"/>
      <c r="AZ359" s="74"/>
    </row>
    <row r="360">
      <c r="A360" s="71"/>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4"/>
      <c r="AM360" s="74"/>
      <c r="AN360" s="74"/>
      <c r="AO360" s="74"/>
      <c r="AP360" s="74"/>
      <c r="AQ360" s="74"/>
      <c r="AR360" s="74"/>
      <c r="AS360" s="74"/>
      <c r="AT360" s="74"/>
      <c r="AU360" s="74"/>
      <c r="AV360" s="74"/>
      <c r="AW360" s="74"/>
      <c r="AX360" s="74"/>
      <c r="AY360" s="74"/>
      <c r="AZ360" s="74"/>
    </row>
    <row r="361">
      <c r="A361" s="71"/>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4"/>
      <c r="AM361" s="74"/>
      <c r="AN361" s="74"/>
      <c r="AO361" s="74"/>
      <c r="AP361" s="74"/>
      <c r="AQ361" s="74"/>
      <c r="AR361" s="74"/>
      <c r="AS361" s="74"/>
      <c r="AT361" s="74"/>
      <c r="AU361" s="74"/>
      <c r="AV361" s="74"/>
      <c r="AW361" s="74"/>
      <c r="AX361" s="74"/>
      <c r="AY361" s="74"/>
      <c r="AZ361" s="74"/>
    </row>
    <row r="362">
      <c r="A362" s="71"/>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4"/>
      <c r="AM362" s="74"/>
      <c r="AN362" s="74"/>
      <c r="AO362" s="74"/>
      <c r="AP362" s="74"/>
      <c r="AQ362" s="74"/>
      <c r="AR362" s="74"/>
      <c r="AS362" s="74"/>
      <c r="AT362" s="74"/>
      <c r="AU362" s="74"/>
      <c r="AV362" s="74"/>
      <c r="AW362" s="74"/>
      <c r="AX362" s="74"/>
      <c r="AY362" s="74"/>
      <c r="AZ362" s="74"/>
    </row>
    <row r="363">
      <c r="A363" s="71"/>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c r="AM363" s="74"/>
      <c r="AN363" s="74"/>
      <c r="AO363" s="74"/>
      <c r="AP363" s="74"/>
      <c r="AQ363" s="74"/>
      <c r="AR363" s="74"/>
      <c r="AS363" s="74"/>
      <c r="AT363" s="74"/>
      <c r="AU363" s="74"/>
      <c r="AV363" s="74"/>
      <c r="AW363" s="74"/>
      <c r="AX363" s="74"/>
      <c r="AY363" s="74"/>
      <c r="AZ363" s="74"/>
    </row>
    <row r="364">
      <c r="A364" s="71"/>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c r="AM364" s="74"/>
      <c r="AN364" s="74"/>
      <c r="AO364" s="74"/>
      <c r="AP364" s="74"/>
      <c r="AQ364" s="74"/>
      <c r="AR364" s="74"/>
      <c r="AS364" s="74"/>
      <c r="AT364" s="74"/>
      <c r="AU364" s="74"/>
      <c r="AV364" s="74"/>
      <c r="AW364" s="74"/>
      <c r="AX364" s="74"/>
      <c r="AY364" s="74"/>
      <c r="AZ364" s="74"/>
    </row>
    <row r="365">
      <c r="A365" s="71"/>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c r="AM365" s="74"/>
      <c r="AN365" s="74"/>
      <c r="AO365" s="74"/>
      <c r="AP365" s="74"/>
      <c r="AQ365" s="74"/>
      <c r="AR365" s="74"/>
      <c r="AS365" s="74"/>
      <c r="AT365" s="74"/>
      <c r="AU365" s="74"/>
      <c r="AV365" s="74"/>
      <c r="AW365" s="74"/>
      <c r="AX365" s="74"/>
      <c r="AY365" s="74"/>
      <c r="AZ365" s="74"/>
    </row>
    <row r="366">
      <c r="A366" s="71"/>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c r="AM366" s="74"/>
      <c r="AN366" s="74"/>
      <c r="AO366" s="74"/>
      <c r="AP366" s="74"/>
      <c r="AQ366" s="74"/>
      <c r="AR366" s="74"/>
      <c r="AS366" s="74"/>
      <c r="AT366" s="74"/>
      <c r="AU366" s="74"/>
      <c r="AV366" s="74"/>
      <c r="AW366" s="74"/>
      <c r="AX366" s="74"/>
      <c r="AY366" s="74"/>
      <c r="AZ366" s="74"/>
    </row>
    <row r="367">
      <c r="A367" s="71"/>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c r="AO367" s="74"/>
      <c r="AP367" s="74"/>
      <c r="AQ367" s="74"/>
      <c r="AR367" s="74"/>
      <c r="AS367" s="74"/>
      <c r="AT367" s="74"/>
      <c r="AU367" s="74"/>
      <c r="AV367" s="74"/>
      <c r="AW367" s="74"/>
      <c r="AX367" s="74"/>
      <c r="AY367" s="74"/>
      <c r="AZ367" s="74"/>
    </row>
    <row r="368">
      <c r="A368" s="71"/>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c r="AO368" s="74"/>
      <c r="AP368" s="74"/>
      <c r="AQ368" s="74"/>
      <c r="AR368" s="74"/>
      <c r="AS368" s="74"/>
      <c r="AT368" s="74"/>
      <c r="AU368" s="74"/>
      <c r="AV368" s="74"/>
      <c r="AW368" s="74"/>
      <c r="AX368" s="74"/>
      <c r="AY368" s="74"/>
      <c r="AZ368" s="74"/>
    </row>
    <row r="369">
      <c r="A369" s="71"/>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4"/>
      <c r="AM369" s="74"/>
      <c r="AN369" s="74"/>
      <c r="AO369" s="74"/>
      <c r="AP369" s="74"/>
      <c r="AQ369" s="74"/>
      <c r="AR369" s="74"/>
      <c r="AS369" s="74"/>
      <c r="AT369" s="74"/>
      <c r="AU369" s="74"/>
      <c r="AV369" s="74"/>
      <c r="AW369" s="74"/>
      <c r="AX369" s="74"/>
      <c r="AY369" s="74"/>
      <c r="AZ369" s="74"/>
    </row>
    <row r="370">
      <c r="A370" s="71"/>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c r="AL370" s="74"/>
      <c r="AM370" s="74"/>
      <c r="AN370" s="74"/>
      <c r="AO370" s="74"/>
      <c r="AP370" s="74"/>
      <c r="AQ370" s="74"/>
      <c r="AR370" s="74"/>
      <c r="AS370" s="74"/>
      <c r="AT370" s="74"/>
      <c r="AU370" s="74"/>
      <c r="AV370" s="74"/>
      <c r="AW370" s="74"/>
      <c r="AX370" s="74"/>
      <c r="AY370" s="74"/>
      <c r="AZ370" s="74"/>
    </row>
    <row r="371">
      <c r="A371" s="71"/>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c r="AL371" s="74"/>
      <c r="AM371" s="74"/>
      <c r="AN371" s="74"/>
      <c r="AO371" s="74"/>
      <c r="AP371" s="74"/>
      <c r="AQ371" s="74"/>
      <c r="AR371" s="74"/>
      <c r="AS371" s="74"/>
      <c r="AT371" s="74"/>
      <c r="AU371" s="74"/>
      <c r="AV371" s="74"/>
      <c r="AW371" s="74"/>
      <c r="AX371" s="74"/>
      <c r="AY371" s="74"/>
      <c r="AZ371" s="74"/>
    </row>
    <row r="372">
      <c r="A372" s="71"/>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c r="AM372" s="74"/>
      <c r="AN372" s="74"/>
      <c r="AO372" s="74"/>
      <c r="AP372" s="74"/>
      <c r="AQ372" s="74"/>
      <c r="AR372" s="74"/>
      <c r="AS372" s="74"/>
      <c r="AT372" s="74"/>
      <c r="AU372" s="74"/>
      <c r="AV372" s="74"/>
      <c r="AW372" s="74"/>
      <c r="AX372" s="74"/>
      <c r="AY372" s="74"/>
      <c r="AZ372" s="74"/>
    </row>
    <row r="373">
      <c r="A373" s="71"/>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c r="AM373" s="74"/>
      <c r="AN373" s="74"/>
      <c r="AO373" s="74"/>
      <c r="AP373" s="74"/>
      <c r="AQ373" s="74"/>
      <c r="AR373" s="74"/>
      <c r="AS373" s="74"/>
      <c r="AT373" s="74"/>
      <c r="AU373" s="74"/>
      <c r="AV373" s="74"/>
      <c r="AW373" s="74"/>
      <c r="AX373" s="74"/>
      <c r="AY373" s="74"/>
      <c r="AZ373" s="74"/>
    </row>
    <row r="374">
      <c r="A374" s="71"/>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4"/>
      <c r="AM374" s="74"/>
      <c r="AN374" s="74"/>
      <c r="AO374" s="74"/>
      <c r="AP374" s="74"/>
      <c r="AQ374" s="74"/>
      <c r="AR374" s="74"/>
      <c r="AS374" s="74"/>
      <c r="AT374" s="74"/>
      <c r="AU374" s="74"/>
      <c r="AV374" s="74"/>
      <c r="AW374" s="74"/>
      <c r="AX374" s="74"/>
      <c r="AY374" s="74"/>
      <c r="AZ374" s="74"/>
    </row>
    <row r="375">
      <c r="A375" s="71"/>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4"/>
      <c r="AM375" s="74"/>
      <c r="AN375" s="74"/>
      <c r="AO375" s="74"/>
      <c r="AP375" s="74"/>
      <c r="AQ375" s="74"/>
      <c r="AR375" s="74"/>
      <c r="AS375" s="74"/>
      <c r="AT375" s="74"/>
      <c r="AU375" s="74"/>
      <c r="AV375" s="74"/>
      <c r="AW375" s="74"/>
      <c r="AX375" s="74"/>
      <c r="AY375" s="74"/>
      <c r="AZ375" s="74"/>
    </row>
    <row r="376">
      <c r="A376" s="71"/>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c r="AM376" s="74"/>
      <c r="AN376" s="74"/>
      <c r="AO376" s="74"/>
      <c r="AP376" s="74"/>
      <c r="AQ376" s="74"/>
      <c r="AR376" s="74"/>
      <c r="AS376" s="74"/>
      <c r="AT376" s="74"/>
      <c r="AU376" s="74"/>
      <c r="AV376" s="74"/>
      <c r="AW376" s="74"/>
      <c r="AX376" s="74"/>
      <c r="AY376" s="74"/>
      <c r="AZ376" s="74"/>
    </row>
    <row r="377">
      <c r="A377" s="71"/>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4"/>
      <c r="AM377" s="74"/>
      <c r="AN377" s="74"/>
      <c r="AO377" s="74"/>
      <c r="AP377" s="74"/>
      <c r="AQ377" s="74"/>
      <c r="AR377" s="74"/>
      <c r="AS377" s="74"/>
      <c r="AT377" s="74"/>
      <c r="AU377" s="74"/>
      <c r="AV377" s="74"/>
      <c r="AW377" s="74"/>
      <c r="AX377" s="74"/>
      <c r="AY377" s="74"/>
      <c r="AZ377" s="74"/>
    </row>
    <row r="378">
      <c r="A378" s="71"/>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c r="AL378" s="74"/>
      <c r="AM378" s="74"/>
      <c r="AN378" s="74"/>
      <c r="AO378" s="74"/>
      <c r="AP378" s="74"/>
      <c r="AQ378" s="74"/>
      <c r="AR378" s="74"/>
      <c r="AS378" s="74"/>
      <c r="AT378" s="74"/>
      <c r="AU378" s="74"/>
      <c r="AV378" s="74"/>
      <c r="AW378" s="74"/>
      <c r="AX378" s="74"/>
      <c r="AY378" s="74"/>
      <c r="AZ378" s="74"/>
    </row>
    <row r="379">
      <c r="A379" s="71"/>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c r="AL379" s="74"/>
      <c r="AM379" s="74"/>
      <c r="AN379" s="74"/>
      <c r="AO379" s="74"/>
      <c r="AP379" s="74"/>
      <c r="AQ379" s="74"/>
      <c r="AR379" s="74"/>
      <c r="AS379" s="74"/>
      <c r="AT379" s="74"/>
      <c r="AU379" s="74"/>
      <c r="AV379" s="74"/>
      <c r="AW379" s="74"/>
      <c r="AX379" s="74"/>
      <c r="AY379" s="74"/>
      <c r="AZ379" s="74"/>
    </row>
    <row r="380">
      <c r="A380" s="71"/>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c r="AM380" s="74"/>
      <c r="AN380" s="74"/>
      <c r="AO380" s="74"/>
      <c r="AP380" s="74"/>
      <c r="AQ380" s="74"/>
      <c r="AR380" s="74"/>
      <c r="AS380" s="74"/>
      <c r="AT380" s="74"/>
      <c r="AU380" s="74"/>
      <c r="AV380" s="74"/>
      <c r="AW380" s="74"/>
      <c r="AX380" s="74"/>
      <c r="AY380" s="74"/>
      <c r="AZ380" s="74"/>
    </row>
    <row r="381">
      <c r="A381" s="71"/>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c r="AM381" s="74"/>
      <c r="AN381" s="74"/>
      <c r="AO381" s="74"/>
      <c r="AP381" s="74"/>
      <c r="AQ381" s="74"/>
      <c r="AR381" s="74"/>
      <c r="AS381" s="74"/>
      <c r="AT381" s="74"/>
      <c r="AU381" s="74"/>
      <c r="AV381" s="74"/>
      <c r="AW381" s="74"/>
      <c r="AX381" s="74"/>
      <c r="AY381" s="74"/>
      <c r="AZ381" s="74"/>
    </row>
    <row r="382">
      <c r="A382" s="71"/>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74"/>
      <c r="AP382" s="74"/>
      <c r="AQ382" s="74"/>
      <c r="AR382" s="74"/>
      <c r="AS382" s="74"/>
      <c r="AT382" s="74"/>
      <c r="AU382" s="74"/>
      <c r="AV382" s="74"/>
      <c r="AW382" s="74"/>
      <c r="AX382" s="74"/>
      <c r="AY382" s="74"/>
      <c r="AZ382" s="74"/>
    </row>
    <row r="383">
      <c r="A383" s="71"/>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c r="AO383" s="74"/>
      <c r="AP383" s="74"/>
      <c r="AQ383" s="74"/>
      <c r="AR383" s="74"/>
      <c r="AS383" s="74"/>
      <c r="AT383" s="74"/>
      <c r="AU383" s="74"/>
      <c r="AV383" s="74"/>
      <c r="AW383" s="74"/>
      <c r="AX383" s="74"/>
      <c r="AY383" s="74"/>
      <c r="AZ383" s="74"/>
    </row>
    <row r="384">
      <c r="A384" s="71"/>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c r="AL384" s="74"/>
      <c r="AM384" s="74"/>
      <c r="AN384" s="74"/>
      <c r="AO384" s="74"/>
      <c r="AP384" s="74"/>
      <c r="AQ384" s="74"/>
      <c r="AR384" s="74"/>
      <c r="AS384" s="74"/>
      <c r="AT384" s="74"/>
      <c r="AU384" s="74"/>
      <c r="AV384" s="74"/>
      <c r="AW384" s="74"/>
      <c r="AX384" s="74"/>
      <c r="AY384" s="74"/>
      <c r="AZ384" s="74"/>
    </row>
    <row r="385">
      <c r="A385" s="71"/>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c r="AO385" s="74"/>
      <c r="AP385" s="74"/>
      <c r="AQ385" s="74"/>
      <c r="AR385" s="74"/>
      <c r="AS385" s="74"/>
      <c r="AT385" s="74"/>
      <c r="AU385" s="74"/>
      <c r="AV385" s="74"/>
      <c r="AW385" s="74"/>
      <c r="AX385" s="74"/>
      <c r="AY385" s="74"/>
      <c r="AZ385" s="74"/>
    </row>
    <row r="386">
      <c r="A386" s="71"/>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c r="AL386" s="74"/>
      <c r="AM386" s="74"/>
      <c r="AN386" s="74"/>
      <c r="AO386" s="74"/>
      <c r="AP386" s="74"/>
      <c r="AQ386" s="74"/>
      <c r="AR386" s="74"/>
      <c r="AS386" s="74"/>
      <c r="AT386" s="74"/>
      <c r="AU386" s="74"/>
      <c r="AV386" s="74"/>
      <c r="AW386" s="74"/>
      <c r="AX386" s="74"/>
      <c r="AY386" s="74"/>
      <c r="AZ386" s="74"/>
    </row>
    <row r="387">
      <c r="A387" s="71"/>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c r="AL387" s="74"/>
      <c r="AM387" s="74"/>
      <c r="AN387" s="74"/>
      <c r="AO387" s="74"/>
      <c r="AP387" s="74"/>
      <c r="AQ387" s="74"/>
      <c r="AR387" s="74"/>
      <c r="AS387" s="74"/>
      <c r="AT387" s="74"/>
      <c r="AU387" s="74"/>
      <c r="AV387" s="74"/>
      <c r="AW387" s="74"/>
      <c r="AX387" s="74"/>
      <c r="AY387" s="74"/>
      <c r="AZ387" s="74"/>
    </row>
    <row r="388">
      <c r="A388" s="71"/>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c r="AL388" s="74"/>
      <c r="AM388" s="74"/>
      <c r="AN388" s="74"/>
      <c r="AO388" s="74"/>
      <c r="AP388" s="74"/>
      <c r="AQ388" s="74"/>
      <c r="AR388" s="74"/>
      <c r="AS388" s="74"/>
      <c r="AT388" s="74"/>
      <c r="AU388" s="74"/>
      <c r="AV388" s="74"/>
      <c r="AW388" s="74"/>
      <c r="AX388" s="74"/>
      <c r="AY388" s="74"/>
      <c r="AZ388" s="74"/>
    </row>
    <row r="389">
      <c r="A389" s="71"/>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c r="AL389" s="74"/>
      <c r="AM389" s="74"/>
      <c r="AN389" s="74"/>
      <c r="AO389" s="74"/>
      <c r="AP389" s="74"/>
      <c r="AQ389" s="74"/>
      <c r="AR389" s="74"/>
      <c r="AS389" s="74"/>
      <c r="AT389" s="74"/>
      <c r="AU389" s="74"/>
      <c r="AV389" s="74"/>
      <c r="AW389" s="74"/>
      <c r="AX389" s="74"/>
      <c r="AY389" s="74"/>
      <c r="AZ389" s="74"/>
    </row>
    <row r="390">
      <c r="A390" s="71"/>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c r="AL390" s="74"/>
      <c r="AM390" s="74"/>
      <c r="AN390" s="74"/>
      <c r="AO390" s="74"/>
      <c r="AP390" s="74"/>
      <c r="AQ390" s="74"/>
      <c r="AR390" s="74"/>
      <c r="AS390" s="74"/>
      <c r="AT390" s="74"/>
      <c r="AU390" s="74"/>
      <c r="AV390" s="74"/>
      <c r="AW390" s="74"/>
      <c r="AX390" s="74"/>
      <c r="AY390" s="74"/>
      <c r="AZ390" s="74"/>
    </row>
    <row r="391">
      <c r="A391" s="71"/>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c r="AL391" s="74"/>
      <c r="AM391" s="74"/>
      <c r="AN391" s="74"/>
      <c r="AO391" s="74"/>
      <c r="AP391" s="74"/>
      <c r="AQ391" s="74"/>
      <c r="AR391" s="74"/>
      <c r="AS391" s="74"/>
      <c r="AT391" s="74"/>
      <c r="AU391" s="74"/>
      <c r="AV391" s="74"/>
      <c r="AW391" s="74"/>
      <c r="AX391" s="74"/>
      <c r="AY391" s="74"/>
      <c r="AZ391" s="74"/>
    </row>
    <row r="392">
      <c r="A392" s="71"/>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c r="AL392" s="74"/>
      <c r="AM392" s="74"/>
      <c r="AN392" s="74"/>
      <c r="AO392" s="74"/>
      <c r="AP392" s="74"/>
      <c r="AQ392" s="74"/>
      <c r="AR392" s="74"/>
      <c r="AS392" s="74"/>
      <c r="AT392" s="74"/>
      <c r="AU392" s="74"/>
      <c r="AV392" s="74"/>
      <c r="AW392" s="74"/>
      <c r="AX392" s="74"/>
      <c r="AY392" s="74"/>
      <c r="AZ392" s="74"/>
    </row>
    <row r="393">
      <c r="A393" s="71"/>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c r="AM393" s="74"/>
      <c r="AN393" s="74"/>
      <c r="AO393" s="74"/>
      <c r="AP393" s="74"/>
      <c r="AQ393" s="74"/>
      <c r="AR393" s="74"/>
      <c r="AS393" s="74"/>
      <c r="AT393" s="74"/>
      <c r="AU393" s="74"/>
      <c r="AV393" s="74"/>
      <c r="AW393" s="74"/>
      <c r="AX393" s="74"/>
      <c r="AY393" s="74"/>
      <c r="AZ393" s="74"/>
    </row>
    <row r="394">
      <c r="A394" s="71"/>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c r="AL394" s="74"/>
      <c r="AM394" s="74"/>
      <c r="AN394" s="74"/>
      <c r="AO394" s="74"/>
      <c r="AP394" s="74"/>
      <c r="AQ394" s="74"/>
      <c r="AR394" s="74"/>
      <c r="AS394" s="74"/>
      <c r="AT394" s="74"/>
      <c r="AU394" s="74"/>
      <c r="AV394" s="74"/>
      <c r="AW394" s="74"/>
      <c r="AX394" s="74"/>
      <c r="AY394" s="74"/>
      <c r="AZ394" s="74"/>
    </row>
    <row r="395">
      <c r="A395" s="71"/>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c r="AL395" s="74"/>
      <c r="AM395" s="74"/>
      <c r="AN395" s="74"/>
      <c r="AO395" s="74"/>
      <c r="AP395" s="74"/>
      <c r="AQ395" s="74"/>
      <c r="AR395" s="74"/>
      <c r="AS395" s="74"/>
      <c r="AT395" s="74"/>
      <c r="AU395" s="74"/>
      <c r="AV395" s="74"/>
      <c r="AW395" s="74"/>
      <c r="AX395" s="74"/>
      <c r="AY395" s="74"/>
      <c r="AZ395" s="74"/>
    </row>
    <row r="396">
      <c r="A396" s="71"/>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4"/>
      <c r="AM396" s="74"/>
      <c r="AN396" s="74"/>
      <c r="AO396" s="74"/>
      <c r="AP396" s="74"/>
      <c r="AQ396" s="74"/>
      <c r="AR396" s="74"/>
      <c r="AS396" s="74"/>
      <c r="AT396" s="74"/>
      <c r="AU396" s="74"/>
      <c r="AV396" s="74"/>
      <c r="AW396" s="74"/>
      <c r="AX396" s="74"/>
      <c r="AY396" s="74"/>
      <c r="AZ396" s="74"/>
    </row>
    <row r="397">
      <c r="A397" s="71"/>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c r="AM397" s="74"/>
      <c r="AN397" s="74"/>
      <c r="AO397" s="74"/>
      <c r="AP397" s="74"/>
      <c r="AQ397" s="74"/>
      <c r="AR397" s="74"/>
      <c r="AS397" s="74"/>
      <c r="AT397" s="74"/>
      <c r="AU397" s="74"/>
      <c r="AV397" s="74"/>
      <c r="AW397" s="74"/>
      <c r="AX397" s="74"/>
      <c r="AY397" s="74"/>
      <c r="AZ397" s="74"/>
    </row>
    <row r="398">
      <c r="A398" s="71"/>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c r="AL398" s="74"/>
      <c r="AM398" s="74"/>
      <c r="AN398" s="74"/>
      <c r="AO398" s="74"/>
      <c r="AP398" s="74"/>
      <c r="AQ398" s="74"/>
      <c r="AR398" s="74"/>
      <c r="AS398" s="74"/>
      <c r="AT398" s="74"/>
      <c r="AU398" s="74"/>
      <c r="AV398" s="74"/>
      <c r="AW398" s="74"/>
      <c r="AX398" s="74"/>
      <c r="AY398" s="74"/>
      <c r="AZ398" s="74"/>
    </row>
    <row r="399">
      <c r="A399" s="71"/>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c r="AM399" s="74"/>
      <c r="AN399" s="74"/>
      <c r="AO399" s="74"/>
      <c r="AP399" s="74"/>
      <c r="AQ399" s="74"/>
      <c r="AR399" s="74"/>
      <c r="AS399" s="74"/>
      <c r="AT399" s="74"/>
      <c r="AU399" s="74"/>
      <c r="AV399" s="74"/>
      <c r="AW399" s="74"/>
      <c r="AX399" s="74"/>
      <c r="AY399" s="74"/>
      <c r="AZ399" s="74"/>
    </row>
    <row r="400">
      <c r="A400" s="71"/>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c r="AO400" s="74"/>
      <c r="AP400" s="74"/>
      <c r="AQ400" s="74"/>
      <c r="AR400" s="74"/>
      <c r="AS400" s="74"/>
      <c r="AT400" s="74"/>
      <c r="AU400" s="74"/>
      <c r="AV400" s="74"/>
      <c r="AW400" s="74"/>
      <c r="AX400" s="74"/>
      <c r="AY400" s="74"/>
      <c r="AZ400" s="74"/>
    </row>
    <row r="401">
      <c r="A401" s="71"/>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c r="AN401" s="74"/>
      <c r="AO401" s="74"/>
      <c r="AP401" s="74"/>
      <c r="AQ401" s="74"/>
      <c r="AR401" s="74"/>
      <c r="AS401" s="74"/>
      <c r="AT401" s="74"/>
      <c r="AU401" s="74"/>
      <c r="AV401" s="74"/>
      <c r="AW401" s="74"/>
      <c r="AX401" s="74"/>
      <c r="AY401" s="74"/>
      <c r="AZ401" s="74"/>
    </row>
    <row r="402">
      <c r="A402" s="71"/>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c r="AM402" s="74"/>
      <c r="AN402" s="74"/>
      <c r="AO402" s="74"/>
      <c r="AP402" s="74"/>
      <c r="AQ402" s="74"/>
      <c r="AR402" s="74"/>
      <c r="AS402" s="74"/>
      <c r="AT402" s="74"/>
      <c r="AU402" s="74"/>
      <c r="AV402" s="74"/>
      <c r="AW402" s="74"/>
      <c r="AX402" s="74"/>
      <c r="AY402" s="74"/>
      <c r="AZ402" s="74"/>
    </row>
    <row r="403">
      <c r="A403" s="71"/>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c r="AM403" s="74"/>
      <c r="AN403" s="74"/>
      <c r="AO403" s="74"/>
      <c r="AP403" s="74"/>
      <c r="AQ403" s="74"/>
      <c r="AR403" s="74"/>
      <c r="AS403" s="74"/>
      <c r="AT403" s="74"/>
      <c r="AU403" s="74"/>
      <c r="AV403" s="74"/>
      <c r="AW403" s="74"/>
      <c r="AX403" s="74"/>
      <c r="AY403" s="74"/>
      <c r="AZ403" s="74"/>
    </row>
    <row r="404">
      <c r="A404" s="71"/>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c r="AN404" s="74"/>
      <c r="AO404" s="74"/>
      <c r="AP404" s="74"/>
      <c r="AQ404" s="74"/>
      <c r="AR404" s="74"/>
      <c r="AS404" s="74"/>
      <c r="AT404" s="74"/>
      <c r="AU404" s="74"/>
      <c r="AV404" s="74"/>
      <c r="AW404" s="74"/>
      <c r="AX404" s="74"/>
      <c r="AY404" s="74"/>
      <c r="AZ404" s="74"/>
    </row>
    <row r="405">
      <c r="A405" s="71"/>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c r="AM405" s="74"/>
      <c r="AN405" s="74"/>
      <c r="AO405" s="74"/>
      <c r="AP405" s="74"/>
      <c r="AQ405" s="74"/>
      <c r="AR405" s="74"/>
      <c r="AS405" s="74"/>
      <c r="AT405" s="74"/>
      <c r="AU405" s="74"/>
      <c r="AV405" s="74"/>
      <c r="AW405" s="74"/>
      <c r="AX405" s="74"/>
      <c r="AY405" s="74"/>
      <c r="AZ405" s="74"/>
    </row>
    <row r="406">
      <c r="A406" s="71"/>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74"/>
      <c r="AQ406" s="74"/>
      <c r="AR406" s="74"/>
      <c r="AS406" s="74"/>
      <c r="AT406" s="74"/>
      <c r="AU406" s="74"/>
      <c r="AV406" s="74"/>
      <c r="AW406" s="74"/>
      <c r="AX406" s="74"/>
      <c r="AY406" s="74"/>
      <c r="AZ406" s="74"/>
    </row>
    <row r="407">
      <c r="A407" s="71"/>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c r="AO407" s="74"/>
      <c r="AP407" s="74"/>
      <c r="AQ407" s="74"/>
      <c r="AR407" s="74"/>
      <c r="AS407" s="74"/>
      <c r="AT407" s="74"/>
      <c r="AU407" s="74"/>
      <c r="AV407" s="74"/>
      <c r="AW407" s="74"/>
      <c r="AX407" s="74"/>
      <c r="AY407" s="74"/>
      <c r="AZ407" s="74"/>
    </row>
    <row r="408">
      <c r="A408" s="71"/>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c r="AM408" s="74"/>
      <c r="AN408" s="74"/>
      <c r="AO408" s="74"/>
      <c r="AP408" s="74"/>
      <c r="AQ408" s="74"/>
      <c r="AR408" s="74"/>
      <c r="AS408" s="74"/>
      <c r="AT408" s="74"/>
      <c r="AU408" s="74"/>
      <c r="AV408" s="74"/>
      <c r="AW408" s="74"/>
      <c r="AX408" s="74"/>
      <c r="AY408" s="74"/>
      <c r="AZ408" s="74"/>
    </row>
    <row r="409">
      <c r="A409" s="71"/>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c r="AM409" s="74"/>
      <c r="AN409" s="74"/>
      <c r="AO409" s="74"/>
      <c r="AP409" s="74"/>
      <c r="AQ409" s="74"/>
      <c r="AR409" s="74"/>
      <c r="AS409" s="74"/>
      <c r="AT409" s="74"/>
      <c r="AU409" s="74"/>
      <c r="AV409" s="74"/>
      <c r="AW409" s="74"/>
      <c r="AX409" s="74"/>
      <c r="AY409" s="74"/>
      <c r="AZ409" s="74"/>
    </row>
    <row r="410">
      <c r="A410" s="71"/>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c r="AM410" s="74"/>
      <c r="AN410" s="74"/>
      <c r="AO410" s="74"/>
      <c r="AP410" s="74"/>
      <c r="AQ410" s="74"/>
      <c r="AR410" s="74"/>
      <c r="AS410" s="74"/>
      <c r="AT410" s="74"/>
      <c r="AU410" s="74"/>
      <c r="AV410" s="74"/>
      <c r="AW410" s="74"/>
      <c r="AX410" s="74"/>
      <c r="AY410" s="74"/>
      <c r="AZ410" s="74"/>
    </row>
    <row r="411">
      <c r="A411" s="71"/>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c r="AM411" s="74"/>
      <c r="AN411" s="74"/>
      <c r="AO411" s="74"/>
      <c r="AP411" s="74"/>
      <c r="AQ411" s="74"/>
      <c r="AR411" s="74"/>
      <c r="AS411" s="74"/>
      <c r="AT411" s="74"/>
      <c r="AU411" s="74"/>
      <c r="AV411" s="74"/>
      <c r="AW411" s="74"/>
      <c r="AX411" s="74"/>
      <c r="AY411" s="74"/>
      <c r="AZ411" s="74"/>
    </row>
    <row r="412">
      <c r="A412" s="71"/>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c r="AM412" s="74"/>
      <c r="AN412" s="74"/>
      <c r="AO412" s="74"/>
      <c r="AP412" s="74"/>
      <c r="AQ412" s="74"/>
      <c r="AR412" s="74"/>
      <c r="AS412" s="74"/>
      <c r="AT412" s="74"/>
      <c r="AU412" s="74"/>
      <c r="AV412" s="74"/>
      <c r="AW412" s="74"/>
      <c r="AX412" s="74"/>
      <c r="AY412" s="74"/>
      <c r="AZ412" s="74"/>
    </row>
    <row r="413">
      <c r="A413" s="71"/>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c r="AM413" s="74"/>
      <c r="AN413" s="74"/>
      <c r="AO413" s="74"/>
      <c r="AP413" s="74"/>
      <c r="AQ413" s="74"/>
      <c r="AR413" s="74"/>
      <c r="AS413" s="74"/>
      <c r="AT413" s="74"/>
      <c r="AU413" s="74"/>
      <c r="AV413" s="74"/>
      <c r="AW413" s="74"/>
      <c r="AX413" s="74"/>
      <c r="AY413" s="74"/>
      <c r="AZ413" s="74"/>
    </row>
    <row r="414">
      <c r="A414" s="71"/>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c r="AM414" s="74"/>
      <c r="AN414" s="74"/>
      <c r="AO414" s="74"/>
      <c r="AP414" s="74"/>
      <c r="AQ414" s="74"/>
      <c r="AR414" s="74"/>
      <c r="AS414" s="74"/>
      <c r="AT414" s="74"/>
      <c r="AU414" s="74"/>
      <c r="AV414" s="74"/>
      <c r="AW414" s="74"/>
      <c r="AX414" s="74"/>
      <c r="AY414" s="74"/>
      <c r="AZ414" s="74"/>
    </row>
    <row r="415">
      <c r="A415" s="71"/>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4"/>
      <c r="AM415" s="74"/>
      <c r="AN415" s="74"/>
      <c r="AO415" s="74"/>
      <c r="AP415" s="74"/>
      <c r="AQ415" s="74"/>
      <c r="AR415" s="74"/>
      <c r="AS415" s="74"/>
      <c r="AT415" s="74"/>
      <c r="AU415" s="74"/>
      <c r="AV415" s="74"/>
      <c r="AW415" s="74"/>
      <c r="AX415" s="74"/>
      <c r="AY415" s="74"/>
      <c r="AZ415" s="74"/>
    </row>
    <row r="416">
      <c r="A416" s="71"/>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c r="AM416" s="74"/>
      <c r="AN416" s="74"/>
      <c r="AO416" s="74"/>
      <c r="AP416" s="74"/>
      <c r="AQ416" s="74"/>
      <c r="AR416" s="74"/>
      <c r="AS416" s="74"/>
      <c r="AT416" s="74"/>
      <c r="AU416" s="74"/>
      <c r="AV416" s="74"/>
      <c r="AW416" s="74"/>
      <c r="AX416" s="74"/>
      <c r="AY416" s="74"/>
      <c r="AZ416" s="74"/>
    </row>
    <row r="417">
      <c r="A417" s="71"/>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c r="AM417" s="74"/>
      <c r="AN417" s="74"/>
      <c r="AO417" s="74"/>
      <c r="AP417" s="74"/>
      <c r="AQ417" s="74"/>
      <c r="AR417" s="74"/>
      <c r="AS417" s="74"/>
      <c r="AT417" s="74"/>
      <c r="AU417" s="74"/>
      <c r="AV417" s="74"/>
      <c r="AW417" s="74"/>
      <c r="AX417" s="74"/>
      <c r="AY417" s="74"/>
      <c r="AZ417" s="74"/>
    </row>
    <row r="418">
      <c r="A418" s="71"/>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c r="AM418" s="74"/>
      <c r="AN418" s="74"/>
      <c r="AO418" s="74"/>
      <c r="AP418" s="74"/>
      <c r="AQ418" s="74"/>
      <c r="AR418" s="74"/>
      <c r="AS418" s="74"/>
      <c r="AT418" s="74"/>
      <c r="AU418" s="74"/>
      <c r="AV418" s="74"/>
      <c r="AW418" s="74"/>
      <c r="AX418" s="74"/>
      <c r="AY418" s="74"/>
      <c r="AZ418" s="74"/>
    </row>
    <row r="419">
      <c r="A419" s="71"/>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4"/>
      <c r="AM419" s="74"/>
      <c r="AN419" s="74"/>
      <c r="AO419" s="74"/>
      <c r="AP419" s="74"/>
      <c r="AQ419" s="74"/>
      <c r="AR419" s="74"/>
      <c r="AS419" s="74"/>
      <c r="AT419" s="74"/>
      <c r="AU419" s="74"/>
      <c r="AV419" s="74"/>
      <c r="AW419" s="74"/>
      <c r="AX419" s="74"/>
      <c r="AY419" s="74"/>
      <c r="AZ419" s="74"/>
    </row>
    <row r="420">
      <c r="A420" s="71"/>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c r="AM420" s="74"/>
      <c r="AN420" s="74"/>
      <c r="AO420" s="74"/>
      <c r="AP420" s="74"/>
      <c r="AQ420" s="74"/>
      <c r="AR420" s="74"/>
      <c r="AS420" s="74"/>
      <c r="AT420" s="74"/>
      <c r="AU420" s="74"/>
      <c r="AV420" s="74"/>
      <c r="AW420" s="74"/>
      <c r="AX420" s="74"/>
      <c r="AY420" s="74"/>
      <c r="AZ420" s="74"/>
    </row>
    <row r="421">
      <c r="A421" s="71"/>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c r="AM421" s="74"/>
      <c r="AN421" s="74"/>
      <c r="AO421" s="74"/>
      <c r="AP421" s="74"/>
      <c r="AQ421" s="74"/>
      <c r="AR421" s="74"/>
      <c r="AS421" s="74"/>
      <c r="AT421" s="74"/>
      <c r="AU421" s="74"/>
      <c r="AV421" s="74"/>
      <c r="AW421" s="74"/>
      <c r="AX421" s="74"/>
      <c r="AY421" s="74"/>
      <c r="AZ421" s="74"/>
    </row>
    <row r="422">
      <c r="A422" s="71"/>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c r="AO422" s="74"/>
      <c r="AP422" s="74"/>
      <c r="AQ422" s="74"/>
      <c r="AR422" s="74"/>
      <c r="AS422" s="74"/>
      <c r="AT422" s="74"/>
      <c r="AU422" s="74"/>
      <c r="AV422" s="74"/>
      <c r="AW422" s="74"/>
      <c r="AX422" s="74"/>
      <c r="AY422" s="74"/>
      <c r="AZ422" s="74"/>
    </row>
    <row r="423">
      <c r="A423" s="71"/>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c r="AM423" s="74"/>
      <c r="AN423" s="74"/>
      <c r="AO423" s="74"/>
      <c r="AP423" s="74"/>
      <c r="AQ423" s="74"/>
      <c r="AR423" s="74"/>
      <c r="AS423" s="74"/>
      <c r="AT423" s="74"/>
      <c r="AU423" s="74"/>
      <c r="AV423" s="74"/>
      <c r="AW423" s="74"/>
      <c r="AX423" s="74"/>
      <c r="AY423" s="74"/>
      <c r="AZ423" s="74"/>
    </row>
    <row r="424">
      <c r="A424" s="71"/>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c r="AO424" s="74"/>
      <c r="AP424" s="74"/>
      <c r="AQ424" s="74"/>
      <c r="AR424" s="74"/>
      <c r="AS424" s="74"/>
      <c r="AT424" s="74"/>
      <c r="AU424" s="74"/>
      <c r="AV424" s="74"/>
      <c r="AW424" s="74"/>
      <c r="AX424" s="74"/>
      <c r="AY424" s="74"/>
      <c r="AZ424" s="74"/>
    </row>
    <row r="425">
      <c r="A425" s="71"/>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c r="AO425" s="74"/>
      <c r="AP425" s="74"/>
      <c r="AQ425" s="74"/>
      <c r="AR425" s="74"/>
      <c r="AS425" s="74"/>
      <c r="AT425" s="74"/>
      <c r="AU425" s="74"/>
      <c r="AV425" s="74"/>
      <c r="AW425" s="74"/>
      <c r="AX425" s="74"/>
      <c r="AY425" s="74"/>
      <c r="AZ425" s="74"/>
    </row>
    <row r="426">
      <c r="A426" s="71"/>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c r="AN426" s="74"/>
      <c r="AO426" s="74"/>
      <c r="AP426" s="74"/>
      <c r="AQ426" s="74"/>
      <c r="AR426" s="74"/>
      <c r="AS426" s="74"/>
      <c r="AT426" s="74"/>
      <c r="AU426" s="74"/>
      <c r="AV426" s="74"/>
      <c r="AW426" s="74"/>
      <c r="AX426" s="74"/>
      <c r="AY426" s="74"/>
      <c r="AZ426" s="74"/>
    </row>
    <row r="427">
      <c r="A427" s="71"/>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c r="AN427" s="74"/>
      <c r="AO427" s="74"/>
      <c r="AP427" s="74"/>
      <c r="AQ427" s="74"/>
      <c r="AR427" s="74"/>
      <c r="AS427" s="74"/>
      <c r="AT427" s="74"/>
      <c r="AU427" s="74"/>
      <c r="AV427" s="74"/>
      <c r="AW427" s="74"/>
      <c r="AX427" s="74"/>
      <c r="AY427" s="74"/>
      <c r="AZ427" s="74"/>
    </row>
    <row r="428">
      <c r="A428" s="71"/>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c r="AN428" s="74"/>
      <c r="AO428" s="74"/>
      <c r="AP428" s="74"/>
      <c r="AQ428" s="74"/>
      <c r="AR428" s="74"/>
      <c r="AS428" s="74"/>
      <c r="AT428" s="74"/>
      <c r="AU428" s="74"/>
      <c r="AV428" s="74"/>
      <c r="AW428" s="74"/>
      <c r="AX428" s="74"/>
      <c r="AY428" s="74"/>
      <c r="AZ428" s="74"/>
    </row>
    <row r="429">
      <c r="A429" s="71"/>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c r="AN429" s="74"/>
      <c r="AO429" s="74"/>
      <c r="AP429" s="74"/>
      <c r="AQ429" s="74"/>
      <c r="AR429" s="74"/>
      <c r="AS429" s="74"/>
      <c r="AT429" s="74"/>
      <c r="AU429" s="74"/>
      <c r="AV429" s="74"/>
      <c r="AW429" s="74"/>
      <c r="AX429" s="74"/>
      <c r="AY429" s="74"/>
      <c r="AZ429" s="74"/>
    </row>
    <row r="430">
      <c r="A430" s="71"/>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c r="AN430" s="74"/>
      <c r="AO430" s="74"/>
      <c r="AP430" s="74"/>
      <c r="AQ430" s="74"/>
      <c r="AR430" s="74"/>
      <c r="AS430" s="74"/>
      <c r="AT430" s="74"/>
      <c r="AU430" s="74"/>
      <c r="AV430" s="74"/>
      <c r="AW430" s="74"/>
      <c r="AX430" s="74"/>
      <c r="AY430" s="74"/>
      <c r="AZ430" s="74"/>
    </row>
    <row r="431">
      <c r="A431" s="71"/>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c r="AN431" s="74"/>
      <c r="AO431" s="74"/>
      <c r="AP431" s="74"/>
      <c r="AQ431" s="74"/>
      <c r="AR431" s="74"/>
      <c r="AS431" s="74"/>
      <c r="AT431" s="74"/>
      <c r="AU431" s="74"/>
      <c r="AV431" s="74"/>
      <c r="AW431" s="74"/>
      <c r="AX431" s="74"/>
      <c r="AY431" s="74"/>
      <c r="AZ431" s="74"/>
    </row>
    <row r="432">
      <c r="A432" s="71"/>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c r="AN432" s="74"/>
      <c r="AO432" s="74"/>
      <c r="AP432" s="74"/>
      <c r="AQ432" s="74"/>
      <c r="AR432" s="74"/>
      <c r="AS432" s="74"/>
      <c r="AT432" s="74"/>
      <c r="AU432" s="74"/>
      <c r="AV432" s="74"/>
      <c r="AW432" s="74"/>
      <c r="AX432" s="74"/>
      <c r="AY432" s="74"/>
      <c r="AZ432" s="74"/>
    </row>
    <row r="433">
      <c r="A433" s="71"/>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c r="AO433" s="74"/>
      <c r="AP433" s="74"/>
      <c r="AQ433" s="74"/>
      <c r="AR433" s="74"/>
      <c r="AS433" s="74"/>
      <c r="AT433" s="74"/>
      <c r="AU433" s="74"/>
      <c r="AV433" s="74"/>
      <c r="AW433" s="74"/>
      <c r="AX433" s="74"/>
      <c r="AY433" s="74"/>
      <c r="AZ433" s="74"/>
    </row>
    <row r="434">
      <c r="A434" s="71"/>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c r="AN434" s="74"/>
      <c r="AO434" s="74"/>
      <c r="AP434" s="74"/>
      <c r="AQ434" s="74"/>
      <c r="AR434" s="74"/>
      <c r="AS434" s="74"/>
      <c r="AT434" s="74"/>
      <c r="AU434" s="74"/>
      <c r="AV434" s="74"/>
      <c r="AW434" s="74"/>
      <c r="AX434" s="74"/>
      <c r="AY434" s="74"/>
      <c r="AZ434" s="74"/>
    </row>
    <row r="435">
      <c r="A435" s="71"/>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c r="AN435" s="74"/>
      <c r="AO435" s="74"/>
      <c r="AP435" s="74"/>
      <c r="AQ435" s="74"/>
      <c r="AR435" s="74"/>
      <c r="AS435" s="74"/>
      <c r="AT435" s="74"/>
      <c r="AU435" s="74"/>
      <c r="AV435" s="74"/>
      <c r="AW435" s="74"/>
      <c r="AX435" s="74"/>
      <c r="AY435" s="74"/>
      <c r="AZ435" s="74"/>
    </row>
    <row r="436">
      <c r="A436" s="71"/>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c r="AM436" s="74"/>
      <c r="AN436" s="74"/>
      <c r="AO436" s="74"/>
      <c r="AP436" s="74"/>
      <c r="AQ436" s="74"/>
      <c r="AR436" s="74"/>
      <c r="AS436" s="74"/>
      <c r="AT436" s="74"/>
      <c r="AU436" s="74"/>
      <c r="AV436" s="74"/>
      <c r="AW436" s="74"/>
      <c r="AX436" s="74"/>
      <c r="AY436" s="74"/>
      <c r="AZ436" s="74"/>
    </row>
    <row r="437">
      <c r="A437" s="71"/>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c r="AM437" s="74"/>
      <c r="AN437" s="74"/>
      <c r="AO437" s="74"/>
      <c r="AP437" s="74"/>
      <c r="AQ437" s="74"/>
      <c r="AR437" s="74"/>
      <c r="AS437" s="74"/>
      <c r="AT437" s="74"/>
      <c r="AU437" s="74"/>
      <c r="AV437" s="74"/>
      <c r="AW437" s="74"/>
      <c r="AX437" s="74"/>
      <c r="AY437" s="74"/>
      <c r="AZ437" s="74"/>
    </row>
    <row r="438">
      <c r="A438" s="71"/>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4"/>
      <c r="AM438" s="74"/>
      <c r="AN438" s="74"/>
      <c r="AO438" s="74"/>
      <c r="AP438" s="74"/>
      <c r="AQ438" s="74"/>
      <c r="AR438" s="74"/>
      <c r="AS438" s="74"/>
      <c r="AT438" s="74"/>
      <c r="AU438" s="74"/>
      <c r="AV438" s="74"/>
      <c r="AW438" s="74"/>
      <c r="AX438" s="74"/>
      <c r="AY438" s="74"/>
      <c r="AZ438" s="74"/>
    </row>
    <row r="439">
      <c r="A439" s="71"/>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4"/>
      <c r="AM439" s="74"/>
      <c r="AN439" s="74"/>
      <c r="AO439" s="74"/>
      <c r="AP439" s="74"/>
      <c r="AQ439" s="74"/>
      <c r="AR439" s="74"/>
      <c r="AS439" s="74"/>
      <c r="AT439" s="74"/>
      <c r="AU439" s="74"/>
      <c r="AV439" s="74"/>
      <c r="AW439" s="74"/>
      <c r="AX439" s="74"/>
      <c r="AY439" s="74"/>
      <c r="AZ439" s="74"/>
    </row>
    <row r="440">
      <c r="A440" s="71"/>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4"/>
      <c r="AM440" s="74"/>
      <c r="AN440" s="74"/>
      <c r="AO440" s="74"/>
      <c r="AP440" s="74"/>
      <c r="AQ440" s="74"/>
      <c r="AR440" s="74"/>
      <c r="AS440" s="74"/>
      <c r="AT440" s="74"/>
      <c r="AU440" s="74"/>
      <c r="AV440" s="74"/>
      <c r="AW440" s="74"/>
      <c r="AX440" s="74"/>
      <c r="AY440" s="74"/>
      <c r="AZ440" s="74"/>
    </row>
    <row r="441">
      <c r="A441" s="71"/>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c r="AM441" s="74"/>
      <c r="AN441" s="74"/>
      <c r="AO441" s="74"/>
      <c r="AP441" s="74"/>
      <c r="AQ441" s="74"/>
      <c r="AR441" s="74"/>
      <c r="AS441" s="74"/>
      <c r="AT441" s="74"/>
      <c r="AU441" s="74"/>
      <c r="AV441" s="74"/>
      <c r="AW441" s="74"/>
      <c r="AX441" s="74"/>
      <c r="AY441" s="74"/>
      <c r="AZ441" s="74"/>
    </row>
    <row r="442">
      <c r="A442" s="71"/>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c r="AN442" s="74"/>
      <c r="AO442" s="74"/>
      <c r="AP442" s="74"/>
      <c r="AQ442" s="74"/>
      <c r="AR442" s="74"/>
      <c r="AS442" s="74"/>
      <c r="AT442" s="74"/>
      <c r="AU442" s="74"/>
      <c r="AV442" s="74"/>
      <c r="AW442" s="74"/>
      <c r="AX442" s="74"/>
      <c r="AY442" s="74"/>
      <c r="AZ442" s="74"/>
    </row>
    <row r="443">
      <c r="A443" s="71"/>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c r="AN443" s="74"/>
      <c r="AO443" s="74"/>
      <c r="AP443" s="74"/>
      <c r="AQ443" s="74"/>
      <c r="AR443" s="74"/>
      <c r="AS443" s="74"/>
      <c r="AT443" s="74"/>
      <c r="AU443" s="74"/>
      <c r="AV443" s="74"/>
      <c r="AW443" s="74"/>
      <c r="AX443" s="74"/>
      <c r="AY443" s="74"/>
      <c r="AZ443" s="74"/>
    </row>
    <row r="444">
      <c r="A444" s="71"/>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c r="AN444" s="74"/>
      <c r="AO444" s="74"/>
      <c r="AP444" s="74"/>
      <c r="AQ444" s="74"/>
      <c r="AR444" s="74"/>
      <c r="AS444" s="74"/>
      <c r="AT444" s="74"/>
      <c r="AU444" s="74"/>
      <c r="AV444" s="74"/>
      <c r="AW444" s="74"/>
      <c r="AX444" s="74"/>
      <c r="AY444" s="74"/>
      <c r="AZ444" s="74"/>
    </row>
    <row r="445">
      <c r="A445" s="71"/>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c r="AJ445" s="74"/>
      <c r="AK445" s="74"/>
      <c r="AL445" s="74"/>
      <c r="AM445" s="74"/>
      <c r="AN445" s="74"/>
      <c r="AO445" s="74"/>
      <c r="AP445" s="74"/>
      <c r="AQ445" s="74"/>
      <c r="AR445" s="74"/>
      <c r="AS445" s="74"/>
      <c r="AT445" s="74"/>
      <c r="AU445" s="74"/>
      <c r="AV445" s="74"/>
      <c r="AW445" s="74"/>
      <c r="AX445" s="74"/>
      <c r="AY445" s="74"/>
      <c r="AZ445" s="74"/>
    </row>
    <row r="446">
      <c r="A446" s="71"/>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c r="AJ446" s="74"/>
      <c r="AK446" s="74"/>
      <c r="AL446" s="74"/>
      <c r="AM446" s="74"/>
      <c r="AN446" s="74"/>
      <c r="AO446" s="74"/>
      <c r="AP446" s="74"/>
      <c r="AQ446" s="74"/>
      <c r="AR446" s="74"/>
      <c r="AS446" s="74"/>
      <c r="AT446" s="74"/>
      <c r="AU446" s="74"/>
      <c r="AV446" s="74"/>
      <c r="AW446" s="74"/>
      <c r="AX446" s="74"/>
      <c r="AY446" s="74"/>
      <c r="AZ446" s="74"/>
    </row>
    <row r="447">
      <c r="A447" s="71"/>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c r="AJ447" s="74"/>
      <c r="AK447" s="74"/>
      <c r="AL447" s="74"/>
      <c r="AM447" s="74"/>
      <c r="AN447" s="74"/>
      <c r="AO447" s="74"/>
      <c r="AP447" s="74"/>
      <c r="AQ447" s="74"/>
      <c r="AR447" s="74"/>
      <c r="AS447" s="74"/>
      <c r="AT447" s="74"/>
      <c r="AU447" s="74"/>
      <c r="AV447" s="74"/>
      <c r="AW447" s="74"/>
      <c r="AX447" s="74"/>
      <c r="AY447" s="74"/>
      <c r="AZ447" s="74"/>
    </row>
    <row r="448">
      <c r="A448" s="71"/>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c r="AM448" s="74"/>
      <c r="AN448" s="74"/>
      <c r="AO448" s="74"/>
      <c r="AP448" s="74"/>
      <c r="AQ448" s="74"/>
      <c r="AR448" s="74"/>
      <c r="AS448" s="74"/>
      <c r="AT448" s="74"/>
      <c r="AU448" s="74"/>
      <c r="AV448" s="74"/>
      <c r="AW448" s="74"/>
      <c r="AX448" s="74"/>
      <c r="AY448" s="74"/>
      <c r="AZ448" s="74"/>
    </row>
    <row r="449">
      <c r="A449" s="71"/>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c r="AJ449" s="74"/>
      <c r="AK449" s="74"/>
      <c r="AL449" s="74"/>
      <c r="AM449" s="74"/>
      <c r="AN449" s="74"/>
      <c r="AO449" s="74"/>
      <c r="AP449" s="74"/>
      <c r="AQ449" s="74"/>
      <c r="AR449" s="74"/>
      <c r="AS449" s="74"/>
      <c r="AT449" s="74"/>
      <c r="AU449" s="74"/>
      <c r="AV449" s="74"/>
      <c r="AW449" s="74"/>
      <c r="AX449" s="74"/>
      <c r="AY449" s="74"/>
      <c r="AZ449" s="74"/>
    </row>
    <row r="450">
      <c r="A450" s="71"/>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c r="AJ450" s="74"/>
      <c r="AK450" s="74"/>
      <c r="AL450" s="74"/>
      <c r="AM450" s="74"/>
      <c r="AN450" s="74"/>
      <c r="AO450" s="74"/>
      <c r="AP450" s="74"/>
      <c r="AQ450" s="74"/>
      <c r="AR450" s="74"/>
      <c r="AS450" s="74"/>
      <c r="AT450" s="74"/>
      <c r="AU450" s="74"/>
      <c r="AV450" s="74"/>
      <c r="AW450" s="74"/>
      <c r="AX450" s="74"/>
      <c r="AY450" s="74"/>
      <c r="AZ450" s="74"/>
    </row>
    <row r="451">
      <c r="A451" s="71"/>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row>
    <row r="452">
      <c r="A452" s="71"/>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4"/>
      <c r="AM452" s="74"/>
      <c r="AN452" s="74"/>
      <c r="AO452" s="74"/>
      <c r="AP452" s="74"/>
      <c r="AQ452" s="74"/>
      <c r="AR452" s="74"/>
      <c r="AS452" s="74"/>
      <c r="AT452" s="74"/>
      <c r="AU452" s="74"/>
      <c r="AV452" s="74"/>
      <c r="AW452" s="74"/>
      <c r="AX452" s="74"/>
      <c r="AY452" s="74"/>
      <c r="AZ452" s="74"/>
    </row>
    <row r="453">
      <c r="A453" s="71"/>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c r="AM453" s="74"/>
      <c r="AN453" s="74"/>
      <c r="AO453" s="74"/>
      <c r="AP453" s="74"/>
      <c r="AQ453" s="74"/>
      <c r="AR453" s="74"/>
      <c r="AS453" s="74"/>
      <c r="AT453" s="74"/>
      <c r="AU453" s="74"/>
      <c r="AV453" s="74"/>
      <c r="AW453" s="74"/>
      <c r="AX453" s="74"/>
      <c r="AY453" s="74"/>
      <c r="AZ453" s="74"/>
    </row>
    <row r="454">
      <c r="A454" s="71"/>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c r="AM454" s="74"/>
      <c r="AN454" s="74"/>
      <c r="AO454" s="74"/>
      <c r="AP454" s="74"/>
      <c r="AQ454" s="74"/>
      <c r="AR454" s="74"/>
      <c r="AS454" s="74"/>
      <c r="AT454" s="74"/>
      <c r="AU454" s="74"/>
      <c r="AV454" s="74"/>
      <c r="AW454" s="74"/>
      <c r="AX454" s="74"/>
      <c r="AY454" s="74"/>
      <c r="AZ454" s="74"/>
    </row>
    <row r="455">
      <c r="A455" s="71"/>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c r="AM455" s="74"/>
      <c r="AN455" s="74"/>
      <c r="AO455" s="74"/>
      <c r="AP455" s="74"/>
      <c r="AQ455" s="74"/>
      <c r="AR455" s="74"/>
      <c r="AS455" s="74"/>
      <c r="AT455" s="74"/>
      <c r="AU455" s="74"/>
      <c r="AV455" s="74"/>
      <c r="AW455" s="74"/>
      <c r="AX455" s="74"/>
      <c r="AY455" s="74"/>
      <c r="AZ455" s="74"/>
    </row>
    <row r="456">
      <c r="A456" s="71"/>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4"/>
      <c r="AM456" s="74"/>
      <c r="AN456" s="74"/>
      <c r="AO456" s="74"/>
      <c r="AP456" s="74"/>
      <c r="AQ456" s="74"/>
      <c r="AR456" s="74"/>
      <c r="AS456" s="74"/>
      <c r="AT456" s="74"/>
      <c r="AU456" s="74"/>
      <c r="AV456" s="74"/>
      <c r="AW456" s="74"/>
      <c r="AX456" s="74"/>
      <c r="AY456" s="74"/>
      <c r="AZ456" s="74"/>
    </row>
    <row r="457">
      <c r="A457" s="71"/>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4"/>
      <c r="AM457" s="74"/>
      <c r="AN457" s="74"/>
      <c r="AO457" s="74"/>
      <c r="AP457" s="74"/>
      <c r="AQ457" s="74"/>
      <c r="AR457" s="74"/>
      <c r="AS457" s="74"/>
      <c r="AT457" s="74"/>
      <c r="AU457" s="74"/>
      <c r="AV457" s="74"/>
      <c r="AW457" s="74"/>
      <c r="AX457" s="74"/>
      <c r="AY457" s="74"/>
      <c r="AZ457" s="74"/>
    </row>
    <row r="458">
      <c r="A458" s="71"/>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c r="AN458" s="74"/>
      <c r="AO458" s="74"/>
      <c r="AP458" s="74"/>
      <c r="AQ458" s="74"/>
      <c r="AR458" s="74"/>
      <c r="AS458" s="74"/>
      <c r="AT458" s="74"/>
      <c r="AU458" s="74"/>
      <c r="AV458" s="74"/>
      <c r="AW458" s="74"/>
      <c r="AX458" s="74"/>
      <c r="AY458" s="74"/>
      <c r="AZ458" s="74"/>
    </row>
    <row r="459">
      <c r="A459" s="71"/>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c r="AM459" s="74"/>
      <c r="AN459" s="74"/>
      <c r="AO459" s="74"/>
      <c r="AP459" s="74"/>
      <c r="AQ459" s="74"/>
      <c r="AR459" s="74"/>
      <c r="AS459" s="74"/>
      <c r="AT459" s="74"/>
      <c r="AU459" s="74"/>
      <c r="AV459" s="74"/>
      <c r="AW459" s="74"/>
      <c r="AX459" s="74"/>
      <c r="AY459" s="74"/>
      <c r="AZ459" s="74"/>
    </row>
    <row r="460">
      <c r="A460" s="71"/>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c r="AM460" s="74"/>
      <c r="AN460" s="74"/>
      <c r="AO460" s="74"/>
      <c r="AP460" s="74"/>
      <c r="AQ460" s="74"/>
      <c r="AR460" s="74"/>
      <c r="AS460" s="74"/>
      <c r="AT460" s="74"/>
      <c r="AU460" s="74"/>
      <c r="AV460" s="74"/>
      <c r="AW460" s="74"/>
      <c r="AX460" s="74"/>
      <c r="AY460" s="74"/>
      <c r="AZ460" s="74"/>
    </row>
    <row r="461">
      <c r="A461" s="71"/>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c r="AJ461" s="74"/>
      <c r="AK461" s="74"/>
      <c r="AL461" s="74"/>
      <c r="AM461" s="74"/>
      <c r="AN461" s="74"/>
      <c r="AO461" s="74"/>
      <c r="AP461" s="74"/>
      <c r="AQ461" s="74"/>
      <c r="AR461" s="74"/>
      <c r="AS461" s="74"/>
      <c r="AT461" s="74"/>
      <c r="AU461" s="74"/>
      <c r="AV461" s="74"/>
      <c r="AW461" s="74"/>
      <c r="AX461" s="74"/>
      <c r="AY461" s="74"/>
      <c r="AZ461" s="74"/>
    </row>
    <row r="462">
      <c r="A462" s="71"/>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c r="AJ462" s="74"/>
      <c r="AK462" s="74"/>
      <c r="AL462" s="74"/>
      <c r="AM462" s="74"/>
      <c r="AN462" s="74"/>
      <c r="AO462" s="74"/>
      <c r="AP462" s="74"/>
      <c r="AQ462" s="74"/>
      <c r="AR462" s="74"/>
      <c r="AS462" s="74"/>
      <c r="AT462" s="74"/>
      <c r="AU462" s="74"/>
      <c r="AV462" s="74"/>
      <c r="AW462" s="74"/>
      <c r="AX462" s="74"/>
      <c r="AY462" s="74"/>
      <c r="AZ462" s="74"/>
    </row>
    <row r="463">
      <c r="A463" s="71"/>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c r="AJ463" s="74"/>
      <c r="AK463" s="74"/>
      <c r="AL463" s="74"/>
      <c r="AM463" s="74"/>
      <c r="AN463" s="74"/>
      <c r="AO463" s="74"/>
      <c r="AP463" s="74"/>
      <c r="AQ463" s="74"/>
      <c r="AR463" s="74"/>
      <c r="AS463" s="74"/>
      <c r="AT463" s="74"/>
      <c r="AU463" s="74"/>
      <c r="AV463" s="74"/>
      <c r="AW463" s="74"/>
      <c r="AX463" s="74"/>
      <c r="AY463" s="74"/>
      <c r="AZ463" s="74"/>
    </row>
    <row r="464">
      <c r="A464" s="71"/>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c r="AJ464" s="74"/>
      <c r="AK464" s="74"/>
      <c r="AL464" s="74"/>
      <c r="AM464" s="74"/>
      <c r="AN464" s="74"/>
      <c r="AO464" s="74"/>
      <c r="AP464" s="74"/>
      <c r="AQ464" s="74"/>
      <c r="AR464" s="74"/>
      <c r="AS464" s="74"/>
      <c r="AT464" s="74"/>
      <c r="AU464" s="74"/>
      <c r="AV464" s="74"/>
      <c r="AW464" s="74"/>
      <c r="AX464" s="74"/>
      <c r="AY464" s="74"/>
      <c r="AZ464" s="74"/>
    </row>
    <row r="465">
      <c r="A465" s="71"/>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c r="AJ465" s="74"/>
      <c r="AK465" s="74"/>
      <c r="AL465" s="74"/>
      <c r="AM465" s="74"/>
      <c r="AN465" s="74"/>
      <c r="AO465" s="74"/>
      <c r="AP465" s="74"/>
      <c r="AQ465" s="74"/>
      <c r="AR465" s="74"/>
      <c r="AS465" s="74"/>
      <c r="AT465" s="74"/>
      <c r="AU465" s="74"/>
      <c r="AV465" s="74"/>
      <c r="AW465" s="74"/>
      <c r="AX465" s="74"/>
      <c r="AY465" s="74"/>
      <c r="AZ465" s="74"/>
    </row>
    <row r="466">
      <c r="A466" s="71"/>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c r="AJ466" s="74"/>
      <c r="AK466" s="74"/>
      <c r="AL466" s="74"/>
      <c r="AM466" s="74"/>
      <c r="AN466" s="74"/>
      <c r="AO466" s="74"/>
      <c r="AP466" s="74"/>
      <c r="AQ466" s="74"/>
      <c r="AR466" s="74"/>
      <c r="AS466" s="74"/>
      <c r="AT466" s="74"/>
      <c r="AU466" s="74"/>
      <c r="AV466" s="74"/>
      <c r="AW466" s="74"/>
      <c r="AX466" s="74"/>
      <c r="AY466" s="74"/>
      <c r="AZ466" s="74"/>
    </row>
    <row r="467">
      <c r="A467" s="71"/>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c r="AJ467" s="74"/>
      <c r="AK467" s="74"/>
      <c r="AL467" s="74"/>
      <c r="AM467" s="74"/>
      <c r="AN467" s="74"/>
      <c r="AO467" s="74"/>
      <c r="AP467" s="74"/>
      <c r="AQ467" s="74"/>
      <c r="AR467" s="74"/>
      <c r="AS467" s="74"/>
      <c r="AT467" s="74"/>
      <c r="AU467" s="74"/>
      <c r="AV467" s="74"/>
      <c r="AW467" s="74"/>
      <c r="AX467" s="74"/>
      <c r="AY467" s="74"/>
      <c r="AZ467" s="74"/>
    </row>
    <row r="468">
      <c r="A468" s="71"/>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c r="AM468" s="74"/>
      <c r="AN468" s="74"/>
      <c r="AO468" s="74"/>
      <c r="AP468" s="74"/>
      <c r="AQ468" s="74"/>
      <c r="AR468" s="74"/>
      <c r="AS468" s="74"/>
      <c r="AT468" s="74"/>
      <c r="AU468" s="74"/>
      <c r="AV468" s="74"/>
      <c r="AW468" s="74"/>
      <c r="AX468" s="74"/>
      <c r="AY468" s="74"/>
      <c r="AZ468" s="74"/>
    </row>
    <row r="469">
      <c r="A469" s="71"/>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c r="AM469" s="74"/>
      <c r="AN469" s="74"/>
      <c r="AO469" s="74"/>
      <c r="AP469" s="74"/>
      <c r="AQ469" s="74"/>
      <c r="AR469" s="74"/>
      <c r="AS469" s="74"/>
      <c r="AT469" s="74"/>
      <c r="AU469" s="74"/>
      <c r="AV469" s="74"/>
      <c r="AW469" s="74"/>
      <c r="AX469" s="74"/>
      <c r="AY469" s="74"/>
      <c r="AZ469" s="74"/>
    </row>
    <row r="470">
      <c r="A470" s="71"/>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4"/>
      <c r="AM470" s="74"/>
      <c r="AN470" s="74"/>
      <c r="AO470" s="74"/>
      <c r="AP470" s="74"/>
      <c r="AQ470" s="74"/>
      <c r="AR470" s="74"/>
      <c r="AS470" s="74"/>
      <c r="AT470" s="74"/>
      <c r="AU470" s="74"/>
      <c r="AV470" s="74"/>
      <c r="AW470" s="74"/>
      <c r="AX470" s="74"/>
      <c r="AY470" s="74"/>
      <c r="AZ470" s="74"/>
    </row>
    <row r="471">
      <c r="A471" s="71"/>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c r="AN471" s="74"/>
      <c r="AO471" s="74"/>
      <c r="AP471" s="74"/>
      <c r="AQ471" s="74"/>
      <c r="AR471" s="74"/>
      <c r="AS471" s="74"/>
      <c r="AT471" s="74"/>
      <c r="AU471" s="74"/>
      <c r="AV471" s="74"/>
      <c r="AW471" s="74"/>
      <c r="AX471" s="74"/>
      <c r="AY471" s="74"/>
      <c r="AZ471" s="74"/>
    </row>
    <row r="472">
      <c r="A472" s="71"/>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c r="AM472" s="74"/>
      <c r="AN472" s="74"/>
      <c r="AO472" s="74"/>
      <c r="AP472" s="74"/>
      <c r="AQ472" s="74"/>
      <c r="AR472" s="74"/>
      <c r="AS472" s="74"/>
      <c r="AT472" s="74"/>
      <c r="AU472" s="74"/>
      <c r="AV472" s="74"/>
      <c r="AW472" s="74"/>
      <c r="AX472" s="74"/>
      <c r="AY472" s="74"/>
      <c r="AZ472" s="74"/>
    </row>
    <row r="473">
      <c r="A473" s="71"/>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c r="AM473" s="74"/>
      <c r="AN473" s="74"/>
      <c r="AO473" s="74"/>
      <c r="AP473" s="74"/>
      <c r="AQ473" s="74"/>
      <c r="AR473" s="74"/>
      <c r="AS473" s="74"/>
      <c r="AT473" s="74"/>
      <c r="AU473" s="74"/>
      <c r="AV473" s="74"/>
      <c r="AW473" s="74"/>
      <c r="AX473" s="74"/>
      <c r="AY473" s="74"/>
      <c r="AZ473" s="74"/>
    </row>
    <row r="474">
      <c r="A474" s="71"/>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c r="AM474" s="74"/>
      <c r="AN474" s="74"/>
      <c r="AO474" s="74"/>
      <c r="AP474" s="74"/>
      <c r="AQ474" s="74"/>
      <c r="AR474" s="74"/>
      <c r="AS474" s="74"/>
      <c r="AT474" s="74"/>
      <c r="AU474" s="74"/>
      <c r="AV474" s="74"/>
      <c r="AW474" s="74"/>
      <c r="AX474" s="74"/>
      <c r="AY474" s="74"/>
      <c r="AZ474" s="74"/>
    </row>
    <row r="475">
      <c r="A475" s="71"/>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c r="AM475" s="74"/>
      <c r="AN475" s="74"/>
      <c r="AO475" s="74"/>
      <c r="AP475" s="74"/>
      <c r="AQ475" s="74"/>
      <c r="AR475" s="74"/>
      <c r="AS475" s="74"/>
      <c r="AT475" s="74"/>
      <c r="AU475" s="74"/>
      <c r="AV475" s="74"/>
      <c r="AW475" s="74"/>
      <c r="AX475" s="74"/>
      <c r="AY475" s="74"/>
      <c r="AZ475" s="74"/>
    </row>
    <row r="476">
      <c r="A476" s="71"/>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c r="AJ476" s="74"/>
      <c r="AK476" s="74"/>
      <c r="AL476" s="74"/>
      <c r="AM476" s="74"/>
      <c r="AN476" s="74"/>
      <c r="AO476" s="74"/>
      <c r="AP476" s="74"/>
      <c r="AQ476" s="74"/>
      <c r="AR476" s="74"/>
      <c r="AS476" s="74"/>
      <c r="AT476" s="74"/>
      <c r="AU476" s="74"/>
      <c r="AV476" s="74"/>
      <c r="AW476" s="74"/>
      <c r="AX476" s="74"/>
      <c r="AY476" s="74"/>
      <c r="AZ476" s="74"/>
    </row>
    <row r="477">
      <c r="A477" s="71"/>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c r="AJ477" s="74"/>
      <c r="AK477" s="74"/>
      <c r="AL477" s="74"/>
      <c r="AM477" s="74"/>
      <c r="AN477" s="74"/>
      <c r="AO477" s="74"/>
      <c r="AP477" s="74"/>
      <c r="AQ477" s="74"/>
      <c r="AR477" s="74"/>
      <c r="AS477" s="74"/>
      <c r="AT477" s="74"/>
      <c r="AU477" s="74"/>
      <c r="AV477" s="74"/>
      <c r="AW477" s="74"/>
      <c r="AX477" s="74"/>
      <c r="AY477" s="74"/>
      <c r="AZ477" s="74"/>
    </row>
    <row r="478">
      <c r="A478" s="71"/>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c r="AM478" s="74"/>
      <c r="AN478" s="74"/>
      <c r="AO478" s="74"/>
      <c r="AP478" s="74"/>
      <c r="AQ478" s="74"/>
      <c r="AR478" s="74"/>
      <c r="AS478" s="74"/>
      <c r="AT478" s="74"/>
      <c r="AU478" s="74"/>
      <c r="AV478" s="74"/>
      <c r="AW478" s="74"/>
      <c r="AX478" s="74"/>
      <c r="AY478" s="74"/>
      <c r="AZ478" s="74"/>
    </row>
    <row r="479">
      <c r="A479" s="71"/>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c r="AM479" s="74"/>
      <c r="AN479" s="74"/>
      <c r="AO479" s="74"/>
      <c r="AP479" s="74"/>
      <c r="AQ479" s="74"/>
      <c r="AR479" s="74"/>
      <c r="AS479" s="74"/>
      <c r="AT479" s="74"/>
      <c r="AU479" s="74"/>
      <c r="AV479" s="74"/>
      <c r="AW479" s="74"/>
      <c r="AX479" s="74"/>
      <c r="AY479" s="74"/>
      <c r="AZ479" s="74"/>
    </row>
    <row r="480">
      <c r="A480" s="71"/>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c r="AM480" s="74"/>
      <c r="AN480" s="74"/>
      <c r="AO480" s="74"/>
      <c r="AP480" s="74"/>
      <c r="AQ480" s="74"/>
      <c r="AR480" s="74"/>
      <c r="AS480" s="74"/>
      <c r="AT480" s="74"/>
      <c r="AU480" s="74"/>
      <c r="AV480" s="74"/>
      <c r="AW480" s="74"/>
      <c r="AX480" s="74"/>
      <c r="AY480" s="74"/>
      <c r="AZ480" s="74"/>
    </row>
    <row r="481">
      <c r="A481" s="71"/>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c r="AM481" s="74"/>
      <c r="AN481" s="74"/>
      <c r="AO481" s="74"/>
      <c r="AP481" s="74"/>
      <c r="AQ481" s="74"/>
      <c r="AR481" s="74"/>
      <c r="AS481" s="74"/>
      <c r="AT481" s="74"/>
      <c r="AU481" s="74"/>
      <c r="AV481" s="74"/>
      <c r="AW481" s="74"/>
      <c r="AX481" s="74"/>
      <c r="AY481" s="74"/>
      <c r="AZ481" s="74"/>
    </row>
    <row r="482">
      <c r="A482" s="71"/>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c r="AM482" s="74"/>
      <c r="AN482" s="74"/>
      <c r="AO482" s="74"/>
      <c r="AP482" s="74"/>
      <c r="AQ482" s="74"/>
      <c r="AR482" s="74"/>
      <c r="AS482" s="74"/>
      <c r="AT482" s="74"/>
      <c r="AU482" s="74"/>
      <c r="AV482" s="74"/>
      <c r="AW482" s="74"/>
      <c r="AX482" s="74"/>
      <c r="AY482" s="74"/>
      <c r="AZ482" s="74"/>
    </row>
    <row r="483">
      <c r="A483" s="71"/>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c r="AM483" s="74"/>
      <c r="AN483" s="74"/>
      <c r="AO483" s="74"/>
      <c r="AP483" s="74"/>
      <c r="AQ483" s="74"/>
      <c r="AR483" s="74"/>
      <c r="AS483" s="74"/>
      <c r="AT483" s="74"/>
      <c r="AU483" s="74"/>
      <c r="AV483" s="74"/>
      <c r="AW483" s="74"/>
      <c r="AX483" s="74"/>
      <c r="AY483" s="74"/>
      <c r="AZ483" s="74"/>
    </row>
    <row r="484">
      <c r="A484" s="71"/>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c r="AM484" s="74"/>
      <c r="AN484" s="74"/>
      <c r="AO484" s="74"/>
      <c r="AP484" s="74"/>
      <c r="AQ484" s="74"/>
      <c r="AR484" s="74"/>
      <c r="AS484" s="74"/>
      <c r="AT484" s="74"/>
      <c r="AU484" s="74"/>
      <c r="AV484" s="74"/>
      <c r="AW484" s="74"/>
      <c r="AX484" s="74"/>
      <c r="AY484" s="74"/>
      <c r="AZ484" s="74"/>
    </row>
    <row r="485">
      <c r="A485" s="71"/>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c r="AM485" s="74"/>
      <c r="AN485" s="74"/>
      <c r="AO485" s="74"/>
      <c r="AP485" s="74"/>
      <c r="AQ485" s="74"/>
      <c r="AR485" s="74"/>
      <c r="AS485" s="74"/>
      <c r="AT485" s="74"/>
      <c r="AU485" s="74"/>
      <c r="AV485" s="74"/>
      <c r="AW485" s="74"/>
      <c r="AX485" s="74"/>
      <c r="AY485" s="74"/>
      <c r="AZ485" s="74"/>
    </row>
    <row r="486">
      <c r="A486" s="71"/>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c r="AJ486" s="74"/>
      <c r="AK486" s="74"/>
      <c r="AL486" s="74"/>
      <c r="AM486" s="74"/>
      <c r="AN486" s="74"/>
      <c r="AO486" s="74"/>
      <c r="AP486" s="74"/>
      <c r="AQ486" s="74"/>
      <c r="AR486" s="74"/>
      <c r="AS486" s="74"/>
      <c r="AT486" s="74"/>
      <c r="AU486" s="74"/>
      <c r="AV486" s="74"/>
      <c r="AW486" s="74"/>
      <c r="AX486" s="74"/>
      <c r="AY486" s="74"/>
      <c r="AZ486" s="74"/>
    </row>
    <row r="487">
      <c r="A487" s="71"/>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c r="AJ487" s="74"/>
      <c r="AK487" s="74"/>
      <c r="AL487" s="74"/>
      <c r="AM487" s="74"/>
      <c r="AN487" s="74"/>
      <c r="AO487" s="74"/>
      <c r="AP487" s="74"/>
      <c r="AQ487" s="74"/>
      <c r="AR487" s="74"/>
      <c r="AS487" s="74"/>
      <c r="AT487" s="74"/>
      <c r="AU487" s="74"/>
      <c r="AV487" s="74"/>
      <c r="AW487" s="74"/>
      <c r="AX487" s="74"/>
      <c r="AY487" s="74"/>
      <c r="AZ487" s="74"/>
    </row>
    <row r="488">
      <c r="A488" s="71"/>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c r="AM488" s="74"/>
      <c r="AN488" s="74"/>
      <c r="AO488" s="74"/>
      <c r="AP488" s="74"/>
      <c r="AQ488" s="74"/>
      <c r="AR488" s="74"/>
      <c r="AS488" s="74"/>
      <c r="AT488" s="74"/>
      <c r="AU488" s="74"/>
      <c r="AV488" s="74"/>
      <c r="AW488" s="74"/>
      <c r="AX488" s="74"/>
      <c r="AY488" s="74"/>
      <c r="AZ488" s="74"/>
    </row>
    <row r="489">
      <c r="A489" s="71"/>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c r="AM489" s="74"/>
      <c r="AN489" s="74"/>
      <c r="AO489" s="74"/>
      <c r="AP489" s="74"/>
      <c r="AQ489" s="74"/>
      <c r="AR489" s="74"/>
      <c r="AS489" s="74"/>
      <c r="AT489" s="74"/>
      <c r="AU489" s="74"/>
      <c r="AV489" s="74"/>
      <c r="AW489" s="74"/>
      <c r="AX489" s="74"/>
      <c r="AY489" s="74"/>
      <c r="AZ489" s="74"/>
    </row>
    <row r="490">
      <c r="A490" s="71"/>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c r="AM490" s="74"/>
      <c r="AN490" s="74"/>
      <c r="AO490" s="74"/>
      <c r="AP490" s="74"/>
      <c r="AQ490" s="74"/>
      <c r="AR490" s="74"/>
      <c r="AS490" s="74"/>
      <c r="AT490" s="74"/>
      <c r="AU490" s="74"/>
      <c r="AV490" s="74"/>
      <c r="AW490" s="74"/>
      <c r="AX490" s="74"/>
      <c r="AY490" s="74"/>
      <c r="AZ490" s="74"/>
    </row>
    <row r="491">
      <c r="A491" s="71"/>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c r="AM491" s="74"/>
      <c r="AN491" s="74"/>
      <c r="AO491" s="74"/>
      <c r="AP491" s="74"/>
      <c r="AQ491" s="74"/>
      <c r="AR491" s="74"/>
      <c r="AS491" s="74"/>
      <c r="AT491" s="74"/>
      <c r="AU491" s="74"/>
      <c r="AV491" s="74"/>
      <c r="AW491" s="74"/>
      <c r="AX491" s="74"/>
      <c r="AY491" s="74"/>
      <c r="AZ491" s="74"/>
    </row>
    <row r="492">
      <c r="A492" s="71"/>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c r="AJ492" s="74"/>
      <c r="AK492" s="74"/>
      <c r="AL492" s="74"/>
      <c r="AM492" s="74"/>
      <c r="AN492" s="74"/>
      <c r="AO492" s="74"/>
      <c r="AP492" s="74"/>
      <c r="AQ492" s="74"/>
      <c r="AR492" s="74"/>
      <c r="AS492" s="74"/>
      <c r="AT492" s="74"/>
      <c r="AU492" s="74"/>
      <c r="AV492" s="74"/>
      <c r="AW492" s="74"/>
      <c r="AX492" s="74"/>
      <c r="AY492" s="74"/>
      <c r="AZ492" s="74"/>
    </row>
    <row r="493">
      <c r="A493" s="71"/>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c r="AJ493" s="74"/>
      <c r="AK493" s="74"/>
      <c r="AL493" s="74"/>
      <c r="AM493" s="74"/>
      <c r="AN493" s="74"/>
      <c r="AO493" s="74"/>
      <c r="AP493" s="74"/>
      <c r="AQ493" s="74"/>
      <c r="AR493" s="74"/>
      <c r="AS493" s="74"/>
      <c r="AT493" s="74"/>
      <c r="AU493" s="74"/>
      <c r="AV493" s="74"/>
      <c r="AW493" s="74"/>
      <c r="AX493" s="74"/>
      <c r="AY493" s="74"/>
      <c r="AZ493" s="74"/>
    </row>
    <row r="494">
      <c r="A494" s="71"/>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c r="AJ494" s="74"/>
      <c r="AK494" s="74"/>
      <c r="AL494" s="74"/>
      <c r="AM494" s="74"/>
      <c r="AN494" s="74"/>
      <c r="AO494" s="74"/>
      <c r="AP494" s="74"/>
      <c r="AQ494" s="74"/>
      <c r="AR494" s="74"/>
      <c r="AS494" s="74"/>
      <c r="AT494" s="74"/>
      <c r="AU494" s="74"/>
      <c r="AV494" s="74"/>
      <c r="AW494" s="74"/>
      <c r="AX494" s="74"/>
      <c r="AY494" s="74"/>
      <c r="AZ494" s="74"/>
    </row>
    <row r="495">
      <c r="A495" s="71"/>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c r="AJ495" s="74"/>
      <c r="AK495" s="74"/>
      <c r="AL495" s="74"/>
      <c r="AM495" s="74"/>
      <c r="AN495" s="74"/>
      <c r="AO495" s="74"/>
      <c r="AP495" s="74"/>
      <c r="AQ495" s="74"/>
      <c r="AR495" s="74"/>
      <c r="AS495" s="74"/>
      <c r="AT495" s="74"/>
      <c r="AU495" s="74"/>
      <c r="AV495" s="74"/>
      <c r="AW495" s="74"/>
      <c r="AX495" s="74"/>
      <c r="AY495" s="74"/>
      <c r="AZ495" s="74"/>
    </row>
    <row r="496">
      <c r="A496" s="71"/>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c r="AJ496" s="74"/>
      <c r="AK496" s="74"/>
      <c r="AL496" s="74"/>
      <c r="AM496" s="74"/>
      <c r="AN496" s="74"/>
      <c r="AO496" s="74"/>
      <c r="AP496" s="74"/>
      <c r="AQ496" s="74"/>
      <c r="AR496" s="74"/>
      <c r="AS496" s="74"/>
      <c r="AT496" s="74"/>
      <c r="AU496" s="74"/>
      <c r="AV496" s="74"/>
      <c r="AW496" s="74"/>
      <c r="AX496" s="74"/>
      <c r="AY496" s="74"/>
      <c r="AZ496" s="74"/>
    </row>
    <row r="497">
      <c r="A497" s="71"/>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c r="AJ497" s="74"/>
      <c r="AK497" s="74"/>
      <c r="AL497" s="74"/>
      <c r="AM497" s="74"/>
      <c r="AN497" s="74"/>
      <c r="AO497" s="74"/>
      <c r="AP497" s="74"/>
      <c r="AQ497" s="74"/>
      <c r="AR497" s="74"/>
      <c r="AS497" s="74"/>
      <c r="AT497" s="74"/>
      <c r="AU497" s="74"/>
      <c r="AV497" s="74"/>
      <c r="AW497" s="74"/>
      <c r="AX497" s="74"/>
      <c r="AY497" s="74"/>
      <c r="AZ497" s="74"/>
    </row>
    <row r="498">
      <c r="A498" s="71"/>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c r="AJ498" s="74"/>
      <c r="AK498" s="74"/>
      <c r="AL498" s="74"/>
      <c r="AM498" s="74"/>
      <c r="AN498" s="74"/>
      <c r="AO498" s="74"/>
      <c r="AP498" s="74"/>
      <c r="AQ498" s="74"/>
      <c r="AR498" s="74"/>
      <c r="AS498" s="74"/>
      <c r="AT498" s="74"/>
      <c r="AU498" s="74"/>
      <c r="AV498" s="74"/>
      <c r="AW498" s="74"/>
      <c r="AX498" s="74"/>
      <c r="AY498" s="74"/>
      <c r="AZ498" s="74"/>
    </row>
    <row r="499">
      <c r="A499" s="71"/>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c r="AM499" s="74"/>
      <c r="AN499" s="74"/>
      <c r="AO499" s="74"/>
      <c r="AP499" s="74"/>
      <c r="AQ499" s="74"/>
      <c r="AR499" s="74"/>
      <c r="AS499" s="74"/>
      <c r="AT499" s="74"/>
      <c r="AU499" s="74"/>
      <c r="AV499" s="74"/>
      <c r="AW499" s="74"/>
      <c r="AX499" s="74"/>
      <c r="AY499" s="74"/>
      <c r="AZ499" s="74"/>
    </row>
    <row r="500">
      <c r="A500" s="71"/>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c r="AJ500" s="74"/>
      <c r="AK500" s="74"/>
      <c r="AL500" s="74"/>
      <c r="AM500" s="74"/>
      <c r="AN500" s="74"/>
      <c r="AO500" s="74"/>
      <c r="AP500" s="74"/>
      <c r="AQ500" s="74"/>
      <c r="AR500" s="74"/>
      <c r="AS500" s="74"/>
      <c r="AT500" s="74"/>
      <c r="AU500" s="74"/>
      <c r="AV500" s="74"/>
      <c r="AW500" s="74"/>
      <c r="AX500" s="74"/>
      <c r="AY500" s="74"/>
      <c r="AZ500" s="74"/>
    </row>
    <row r="501">
      <c r="A501" s="71"/>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c r="AJ501" s="74"/>
      <c r="AK501" s="74"/>
      <c r="AL501" s="74"/>
      <c r="AM501" s="74"/>
      <c r="AN501" s="74"/>
      <c r="AO501" s="74"/>
      <c r="AP501" s="74"/>
      <c r="AQ501" s="74"/>
      <c r="AR501" s="74"/>
      <c r="AS501" s="74"/>
      <c r="AT501" s="74"/>
      <c r="AU501" s="74"/>
      <c r="AV501" s="74"/>
      <c r="AW501" s="74"/>
      <c r="AX501" s="74"/>
      <c r="AY501" s="74"/>
      <c r="AZ501" s="74"/>
    </row>
    <row r="502">
      <c r="A502" s="71"/>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c r="AJ502" s="74"/>
      <c r="AK502" s="74"/>
      <c r="AL502" s="74"/>
      <c r="AM502" s="74"/>
      <c r="AN502" s="74"/>
      <c r="AO502" s="74"/>
      <c r="AP502" s="74"/>
      <c r="AQ502" s="74"/>
      <c r="AR502" s="74"/>
      <c r="AS502" s="74"/>
      <c r="AT502" s="74"/>
      <c r="AU502" s="74"/>
      <c r="AV502" s="74"/>
      <c r="AW502" s="74"/>
      <c r="AX502" s="74"/>
      <c r="AY502" s="74"/>
      <c r="AZ502" s="74"/>
    </row>
    <row r="503">
      <c r="A503" s="71"/>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c r="AJ503" s="74"/>
      <c r="AK503" s="74"/>
      <c r="AL503" s="74"/>
      <c r="AM503" s="74"/>
      <c r="AN503" s="74"/>
      <c r="AO503" s="74"/>
      <c r="AP503" s="74"/>
      <c r="AQ503" s="74"/>
      <c r="AR503" s="74"/>
      <c r="AS503" s="74"/>
      <c r="AT503" s="74"/>
      <c r="AU503" s="74"/>
      <c r="AV503" s="74"/>
      <c r="AW503" s="74"/>
      <c r="AX503" s="74"/>
      <c r="AY503" s="74"/>
      <c r="AZ503" s="74"/>
    </row>
    <row r="504">
      <c r="A504" s="71"/>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c r="AJ504" s="74"/>
      <c r="AK504" s="74"/>
      <c r="AL504" s="74"/>
      <c r="AM504" s="74"/>
      <c r="AN504" s="74"/>
      <c r="AO504" s="74"/>
      <c r="AP504" s="74"/>
      <c r="AQ504" s="74"/>
      <c r="AR504" s="74"/>
      <c r="AS504" s="74"/>
      <c r="AT504" s="74"/>
      <c r="AU504" s="74"/>
      <c r="AV504" s="74"/>
      <c r="AW504" s="74"/>
      <c r="AX504" s="74"/>
      <c r="AY504" s="74"/>
      <c r="AZ504" s="74"/>
    </row>
    <row r="505">
      <c r="A505" s="71"/>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c r="AJ505" s="74"/>
      <c r="AK505" s="74"/>
      <c r="AL505" s="74"/>
      <c r="AM505" s="74"/>
      <c r="AN505" s="74"/>
      <c r="AO505" s="74"/>
      <c r="AP505" s="74"/>
      <c r="AQ505" s="74"/>
      <c r="AR505" s="74"/>
      <c r="AS505" s="74"/>
      <c r="AT505" s="74"/>
      <c r="AU505" s="74"/>
      <c r="AV505" s="74"/>
      <c r="AW505" s="74"/>
      <c r="AX505" s="74"/>
      <c r="AY505" s="74"/>
      <c r="AZ505" s="74"/>
    </row>
    <row r="506">
      <c r="A506" s="71"/>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c r="AJ506" s="74"/>
      <c r="AK506" s="74"/>
      <c r="AL506" s="74"/>
      <c r="AM506" s="74"/>
      <c r="AN506" s="74"/>
      <c r="AO506" s="74"/>
      <c r="AP506" s="74"/>
      <c r="AQ506" s="74"/>
      <c r="AR506" s="74"/>
      <c r="AS506" s="74"/>
      <c r="AT506" s="74"/>
      <c r="AU506" s="74"/>
      <c r="AV506" s="74"/>
      <c r="AW506" s="74"/>
      <c r="AX506" s="74"/>
      <c r="AY506" s="74"/>
      <c r="AZ506" s="74"/>
    </row>
    <row r="507">
      <c r="A507" s="71"/>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c r="AJ507" s="74"/>
      <c r="AK507" s="74"/>
      <c r="AL507" s="74"/>
      <c r="AM507" s="74"/>
      <c r="AN507" s="74"/>
      <c r="AO507" s="74"/>
      <c r="AP507" s="74"/>
      <c r="AQ507" s="74"/>
      <c r="AR507" s="74"/>
      <c r="AS507" s="74"/>
      <c r="AT507" s="74"/>
      <c r="AU507" s="74"/>
      <c r="AV507" s="74"/>
      <c r="AW507" s="74"/>
      <c r="AX507" s="74"/>
      <c r="AY507" s="74"/>
      <c r="AZ507" s="74"/>
    </row>
    <row r="508">
      <c r="A508" s="71"/>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c r="AJ508" s="74"/>
      <c r="AK508" s="74"/>
      <c r="AL508" s="74"/>
      <c r="AM508" s="74"/>
      <c r="AN508" s="74"/>
      <c r="AO508" s="74"/>
      <c r="AP508" s="74"/>
      <c r="AQ508" s="74"/>
      <c r="AR508" s="74"/>
      <c r="AS508" s="74"/>
      <c r="AT508" s="74"/>
      <c r="AU508" s="74"/>
      <c r="AV508" s="74"/>
      <c r="AW508" s="74"/>
      <c r="AX508" s="74"/>
      <c r="AY508" s="74"/>
      <c r="AZ508" s="74"/>
    </row>
    <row r="509">
      <c r="A509" s="71"/>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c r="AJ509" s="74"/>
      <c r="AK509" s="74"/>
      <c r="AL509" s="74"/>
      <c r="AM509" s="74"/>
      <c r="AN509" s="74"/>
      <c r="AO509" s="74"/>
      <c r="AP509" s="74"/>
      <c r="AQ509" s="74"/>
      <c r="AR509" s="74"/>
      <c r="AS509" s="74"/>
      <c r="AT509" s="74"/>
      <c r="AU509" s="74"/>
      <c r="AV509" s="74"/>
      <c r="AW509" s="74"/>
      <c r="AX509" s="74"/>
      <c r="AY509" s="74"/>
      <c r="AZ509" s="74"/>
    </row>
    <row r="510">
      <c r="A510" s="71"/>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c r="AJ510" s="74"/>
      <c r="AK510" s="74"/>
      <c r="AL510" s="74"/>
      <c r="AM510" s="74"/>
      <c r="AN510" s="74"/>
      <c r="AO510" s="74"/>
      <c r="AP510" s="74"/>
      <c r="AQ510" s="74"/>
      <c r="AR510" s="74"/>
      <c r="AS510" s="74"/>
      <c r="AT510" s="74"/>
      <c r="AU510" s="74"/>
      <c r="AV510" s="74"/>
      <c r="AW510" s="74"/>
      <c r="AX510" s="74"/>
      <c r="AY510" s="74"/>
      <c r="AZ510" s="74"/>
    </row>
    <row r="511">
      <c r="A511" s="71"/>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c r="AJ511" s="74"/>
      <c r="AK511" s="74"/>
      <c r="AL511" s="74"/>
      <c r="AM511" s="74"/>
      <c r="AN511" s="74"/>
      <c r="AO511" s="74"/>
      <c r="AP511" s="74"/>
      <c r="AQ511" s="74"/>
      <c r="AR511" s="74"/>
      <c r="AS511" s="74"/>
      <c r="AT511" s="74"/>
      <c r="AU511" s="74"/>
      <c r="AV511" s="74"/>
      <c r="AW511" s="74"/>
      <c r="AX511" s="74"/>
      <c r="AY511" s="74"/>
      <c r="AZ511" s="74"/>
    </row>
    <row r="512">
      <c r="A512" s="71"/>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c r="AM512" s="74"/>
      <c r="AN512" s="74"/>
      <c r="AO512" s="74"/>
      <c r="AP512" s="74"/>
      <c r="AQ512" s="74"/>
      <c r="AR512" s="74"/>
      <c r="AS512" s="74"/>
      <c r="AT512" s="74"/>
      <c r="AU512" s="74"/>
      <c r="AV512" s="74"/>
      <c r="AW512" s="74"/>
      <c r="AX512" s="74"/>
      <c r="AY512" s="74"/>
      <c r="AZ512" s="74"/>
    </row>
    <row r="513">
      <c r="A513" s="71"/>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c r="AJ513" s="74"/>
      <c r="AK513" s="74"/>
      <c r="AL513" s="74"/>
      <c r="AM513" s="74"/>
      <c r="AN513" s="74"/>
      <c r="AO513" s="74"/>
      <c r="AP513" s="74"/>
      <c r="AQ513" s="74"/>
      <c r="AR513" s="74"/>
      <c r="AS513" s="74"/>
      <c r="AT513" s="74"/>
      <c r="AU513" s="74"/>
      <c r="AV513" s="74"/>
      <c r="AW513" s="74"/>
      <c r="AX513" s="74"/>
      <c r="AY513" s="74"/>
      <c r="AZ513" s="74"/>
    </row>
    <row r="514">
      <c r="A514" s="71"/>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c r="AM514" s="74"/>
      <c r="AN514" s="74"/>
      <c r="AO514" s="74"/>
      <c r="AP514" s="74"/>
      <c r="AQ514" s="74"/>
      <c r="AR514" s="74"/>
      <c r="AS514" s="74"/>
      <c r="AT514" s="74"/>
      <c r="AU514" s="74"/>
      <c r="AV514" s="74"/>
      <c r="AW514" s="74"/>
      <c r="AX514" s="74"/>
      <c r="AY514" s="74"/>
      <c r="AZ514" s="74"/>
    </row>
    <row r="515">
      <c r="A515" s="71"/>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c r="AM515" s="74"/>
      <c r="AN515" s="74"/>
      <c r="AO515" s="74"/>
      <c r="AP515" s="74"/>
      <c r="AQ515" s="74"/>
      <c r="AR515" s="74"/>
      <c r="AS515" s="74"/>
      <c r="AT515" s="74"/>
      <c r="AU515" s="74"/>
      <c r="AV515" s="74"/>
      <c r="AW515" s="74"/>
      <c r="AX515" s="74"/>
      <c r="AY515" s="74"/>
      <c r="AZ515" s="74"/>
    </row>
    <row r="516">
      <c r="A516" s="71"/>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c r="AJ516" s="74"/>
      <c r="AK516" s="74"/>
      <c r="AL516" s="74"/>
      <c r="AM516" s="74"/>
      <c r="AN516" s="74"/>
      <c r="AO516" s="74"/>
      <c r="AP516" s="74"/>
      <c r="AQ516" s="74"/>
      <c r="AR516" s="74"/>
      <c r="AS516" s="74"/>
      <c r="AT516" s="74"/>
      <c r="AU516" s="74"/>
      <c r="AV516" s="74"/>
      <c r="AW516" s="74"/>
      <c r="AX516" s="74"/>
      <c r="AY516" s="74"/>
      <c r="AZ516" s="74"/>
    </row>
    <row r="517">
      <c r="A517" s="71"/>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c r="AJ517" s="74"/>
      <c r="AK517" s="74"/>
      <c r="AL517" s="74"/>
      <c r="AM517" s="74"/>
      <c r="AN517" s="74"/>
      <c r="AO517" s="74"/>
      <c r="AP517" s="74"/>
      <c r="AQ517" s="74"/>
      <c r="AR517" s="74"/>
      <c r="AS517" s="74"/>
      <c r="AT517" s="74"/>
      <c r="AU517" s="74"/>
      <c r="AV517" s="74"/>
      <c r="AW517" s="74"/>
      <c r="AX517" s="74"/>
      <c r="AY517" s="74"/>
      <c r="AZ517" s="74"/>
    </row>
    <row r="518">
      <c r="A518" s="71"/>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c r="AJ518" s="74"/>
      <c r="AK518" s="74"/>
      <c r="AL518" s="74"/>
      <c r="AM518" s="74"/>
      <c r="AN518" s="74"/>
      <c r="AO518" s="74"/>
      <c r="AP518" s="74"/>
      <c r="AQ518" s="74"/>
      <c r="AR518" s="74"/>
      <c r="AS518" s="74"/>
      <c r="AT518" s="74"/>
      <c r="AU518" s="74"/>
      <c r="AV518" s="74"/>
      <c r="AW518" s="74"/>
      <c r="AX518" s="74"/>
      <c r="AY518" s="74"/>
      <c r="AZ518" s="74"/>
    </row>
    <row r="519">
      <c r="A519" s="71"/>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c r="AM519" s="74"/>
      <c r="AN519" s="74"/>
      <c r="AO519" s="74"/>
      <c r="AP519" s="74"/>
      <c r="AQ519" s="74"/>
      <c r="AR519" s="74"/>
      <c r="AS519" s="74"/>
      <c r="AT519" s="74"/>
      <c r="AU519" s="74"/>
      <c r="AV519" s="74"/>
      <c r="AW519" s="74"/>
      <c r="AX519" s="74"/>
      <c r="AY519" s="74"/>
      <c r="AZ519" s="74"/>
    </row>
    <row r="520">
      <c r="A520" s="71"/>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c r="AM520" s="74"/>
      <c r="AN520" s="74"/>
      <c r="AO520" s="74"/>
      <c r="AP520" s="74"/>
      <c r="AQ520" s="74"/>
      <c r="AR520" s="74"/>
      <c r="AS520" s="74"/>
      <c r="AT520" s="74"/>
      <c r="AU520" s="74"/>
      <c r="AV520" s="74"/>
      <c r="AW520" s="74"/>
      <c r="AX520" s="74"/>
      <c r="AY520" s="74"/>
      <c r="AZ520" s="74"/>
    </row>
    <row r="521">
      <c r="A521" s="71"/>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c r="AJ521" s="74"/>
      <c r="AK521" s="74"/>
      <c r="AL521" s="74"/>
      <c r="AM521" s="74"/>
      <c r="AN521" s="74"/>
      <c r="AO521" s="74"/>
      <c r="AP521" s="74"/>
      <c r="AQ521" s="74"/>
      <c r="AR521" s="74"/>
      <c r="AS521" s="74"/>
      <c r="AT521" s="74"/>
      <c r="AU521" s="74"/>
      <c r="AV521" s="74"/>
      <c r="AW521" s="74"/>
      <c r="AX521" s="74"/>
      <c r="AY521" s="74"/>
      <c r="AZ521" s="74"/>
    </row>
    <row r="522">
      <c r="A522" s="71"/>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c r="AJ522" s="74"/>
      <c r="AK522" s="74"/>
      <c r="AL522" s="74"/>
      <c r="AM522" s="74"/>
      <c r="AN522" s="74"/>
      <c r="AO522" s="74"/>
      <c r="AP522" s="74"/>
      <c r="AQ522" s="74"/>
      <c r="AR522" s="74"/>
      <c r="AS522" s="74"/>
      <c r="AT522" s="74"/>
      <c r="AU522" s="74"/>
      <c r="AV522" s="74"/>
      <c r="AW522" s="74"/>
      <c r="AX522" s="74"/>
      <c r="AY522" s="74"/>
      <c r="AZ522" s="74"/>
    </row>
    <row r="523">
      <c r="A523" s="71"/>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c r="AJ523" s="74"/>
      <c r="AK523" s="74"/>
      <c r="AL523" s="74"/>
      <c r="AM523" s="74"/>
      <c r="AN523" s="74"/>
      <c r="AO523" s="74"/>
      <c r="AP523" s="74"/>
      <c r="AQ523" s="74"/>
      <c r="AR523" s="74"/>
      <c r="AS523" s="74"/>
      <c r="AT523" s="74"/>
      <c r="AU523" s="74"/>
      <c r="AV523" s="74"/>
      <c r="AW523" s="74"/>
      <c r="AX523" s="74"/>
      <c r="AY523" s="74"/>
      <c r="AZ523" s="74"/>
    </row>
    <row r="524">
      <c r="A524" s="71"/>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c r="AJ524" s="74"/>
      <c r="AK524" s="74"/>
      <c r="AL524" s="74"/>
      <c r="AM524" s="74"/>
      <c r="AN524" s="74"/>
      <c r="AO524" s="74"/>
      <c r="AP524" s="74"/>
      <c r="AQ524" s="74"/>
      <c r="AR524" s="74"/>
      <c r="AS524" s="74"/>
      <c r="AT524" s="74"/>
      <c r="AU524" s="74"/>
      <c r="AV524" s="74"/>
      <c r="AW524" s="74"/>
      <c r="AX524" s="74"/>
      <c r="AY524" s="74"/>
      <c r="AZ524" s="74"/>
    </row>
    <row r="525">
      <c r="A525" s="71"/>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c r="AJ525" s="74"/>
      <c r="AK525" s="74"/>
      <c r="AL525" s="74"/>
      <c r="AM525" s="74"/>
      <c r="AN525" s="74"/>
      <c r="AO525" s="74"/>
      <c r="AP525" s="74"/>
      <c r="AQ525" s="74"/>
      <c r="AR525" s="74"/>
      <c r="AS525" s="74"/>
      <c r="AT525" s="74"/>
      <c r="AU525" s="74"/>
      <c r="AV525" s="74"/>
      <c r="AW525" s="74"/>
      <c r="AX525" s="74"/>
      <c r="AY525" s="74"/>
      <c r="AZ525" s="74"/>
    </row>
    <row r="526">
      <c r="A526" s="71"/>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c r="AJ526" s="74"/>
      <c r="AK526" s="74"/>
      <c r="AL526" s="74"/>
      <c r="AM526" s="74"/>
      <c r="AN526" s="74"/>
      <c r="AO526" s="74"/>
      <c r="AP526" s="74"/>
      <c r="AQ526" s="74"/>
      <c r="AR526" s="74"/>
      <c r="AS526" s="74"/>
      <c r="AT526" s="74"/>
      <c r="AU526" s="74"/>
      <c r="AV526" s="74"/>
      <c r="AW526" s="74"/>
      <c r="AX526" s="74"/>
      <c r="AY526" s="74"/>
      <c r="AZ526" s="74"/>
    </row>
    <row r="527">
      <c r="A527" s="71"/>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c r="AM527" s="74"/>
      <c r="AN527" s="74"/>
      <c r="AO527" s="74"/>
      <c r="AP527" s="74"/>
      <c r="AQ527" s="74"/>
      <c r="AR527" s="74"/>
      <c r="AS527" s="74"/>
      <c r="AT527" s="74"/>
      <c r="AU527" s="74"/>
      <c r="AV527" s="74"/>
      <c r="AW527" s="74"/>
      <c r="AX527" s="74"/>
      <c r="AY527" s="74"/>
      <c r="AZ527" s="74"/>
    </row>
    <row r="528">
      <c r="A528" s="71"/>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c r="AJ528" s="74"/>
      <c r="AK528" s="74"/>
      <c r="AL528" s="74"/>
      <c r="AM528" s="74"/>
      <c r="AN528" s="74"/>
      <c r="AO528" s="74"/>
      <c r="AP528" s="74"/>
      <c r="AQ528" s="74"/>
      <c r="AR528" s="74"/>
      <c r="AS528" s="74"/>
      <c r="AT528" s="74"/>
      <c r="AU528" s="74"/>
      <c r="AV528" s="74"/>
      <c r="AW528" s="74"/>
      <c r="AX528" s="74"/>
      <c r="AY528" s="74"/>
      <c r="AZ528" s="74"/>
    </row>
    <row r="529">
      <c r="A529" s="71"/>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c r="AM529" s="74"/>
      <c r="AN529" s="74"/>
      <c r="AO529" s="74"/>
      <c r="AP529" s="74"/>
      <c r="AQ529" s="74"/>
      <c r="AR529" s="74"/>
      <c r="AS529" s="74"/>
      <c r="AT529" s="74"/>
      <c r="AU529" s="74"/>
      <c r="AV529" s="74"/>
      <c r="AW529" s="74"/>
      <c r="AX529" s="74"/>
      <c r="AY529" s="74"/>
      <c r="AZ529" s="74"/>
    </row>
    <row r="530">
      <c r="A530" s="71"/>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c r="AJ530" s="74"/>
      <c r="AK530" s="74"/>
      <c r="AL530" s="74"/>
      <c r="AM530" s="74"/>
      <c r="AN530" s="74"/>
      <c r="AO530" s="74"/>
      <c r="AP530" s="74"/>
      <c r="AQ530" s="74"/>
      <c r="AR530" s="74"/>
      <c r="AS530" s="74"/>
      <c r="AT530" s="74"/>
      <c r="AU530" s="74"/>
      <c r="AV530" s="74"/>
      <c r="AW530" s="74"/>
      <c r="AX530" s="74"/>
      <c r="AY530" s="74"/>
      <c r="AZ530" s="74"/>
    </row>
    <row r="531">
      <c r="A531" s="71"/>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c r="AJ531" s="74"/>
      <c r="AK531" s="74"/>
      <c r="AL531" s="74"/>
      <c r="AM531" s="74"/>
      <c r="AN531" s="74"/>
      <c r="AO531" s="74"/>
      <c r="AP531" s="74"/>
      <c r="AQ531" s="74"/>
      <c r="AR531" s="74"/>
      <c r="AS531" s="74"/>
      <c r="AT531" s="74"/>
      <c r="AU531" s="74"/>
      <c r="AV531" s="74"/>
      <c r="AW531" s="74"/>
      <c r="AX531" s="74"/>
      <c r="AY531" s="74"/>
      <c r="AZ531" s="74"/>
    </row>
    <row r="532">
      <c r="A532" s="71"/>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c r="AJ532" s="74"/>
      <c r="AK532" s="74"/>
      <c r="AL532" s="74"/>
      <c r="AM532" s="74"/>
      <c r="AN532" s="74"/>
      <c r="AO532" s="74"/>
      <c r="AP532" s="74"/>
      <c r="AQ532" s="74"/>
      <c r="AR532" s="74"/>
      <c r="AS532" s="74"/>
      <c r="AT532" s="74"/>
      <c r="AU532" s="74"/>
      <c r="AV532" s="74"/>
      <c r="AW532" s="74"/>
      <c r="AX532" s="74"/>
      <c r="AY532" s="74"/>
      <c r="AZ532" s="74"/>
    </row>
    <row r="533">
      <c r="A533" s="71"/>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c r="AJ533" s="74"/>
      <c r="AK533" s="74"/>
      <c r="AL533" s="74"/>
      <c r="AM533" s="74"/>
      <c r="AN533" s="74"/>
      <c r="AO533" s="74"/>
      <c r="AP533" s="74"/>
      <c r="AQ533" s="74"/>
      <c r="AR533" s="74"/>
      <c r="AS533" s="74"/>
      <c r="AT533" s="74"/>
      <c r="AU533" s="74"/>
      <c r="AV533" s="74"/>
      <c r="AW533" s="74"/>
      <c r="AX533" s="74"/>
      <c r="AY533" s="74"/>
      <c r="AZ533" s="74"/>
    </row>
    <row r="534">
      <c r="A534" s="71"/>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c r="AJ534" s="74"/>
      <c r="AK534" s="74"/>
      <c r="AL534" s="74"/>
      <c r="AM534" s="74"/>
      <c r="AN534" s="74"/>
      <c r="AO534" s="74"/>
      <c r="AP534" s="74"/>
      <c r="AQ534" s="74"/>
      <c r="AR534" s="74"/>
      <c r="AS534" s="74"/>
      <c r="AT534" s="74"/>
      <c r="AU534" s="74"/>
      <c r="AV534" s="74"/>
      <c r="AW534" s="74"/>
      <c r="AX534" s="74"/>
      <c r="AY534" s="74"/>
      <c r="AZ534" s="74"/>
    </row>
    <row r="535">
      <c r="A535" s="71"/>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c r="AJ535" s="74"/>
      <c r="AK535" s="74"/>
      <c r="AL535" s="74"/>
      <c r="AM535" s="74"/>
      <c r="AN535" s="74"/>
      <c r="AO535" s="74"/>
      <c r="AP535" s="74"/>
      <c r="AQ535" s="74"/>
      <c r="AR535" s="74"/>
      <c r="AS535" s="74"/>
      <c r="AT535" s="74"/>
      <c r="AU535" s="74"/>
      <c r="AV535" s="74"/>
      <c r="AW535" s="74"/>
      <c r="AX535" s="74"/>
      <c r="AY535" s="74"/>
      <c r="AZ535" s="74"/>
    </row>
    <row r="536">
      <c r="A536" s="71"/>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c r="AJ536" s="74"/>
      <c r="AK536" s="74"/>
      <c r="AL536" s="74"/>
      <c r="AM536" s="74"/>
      <c r="AN536" s="74"/>
      <c r="AO536" s="74"/>
      <c r="AP536" s="74"/>
      <c r="AQ536" s="74"/>
      <c r="AR536" s="74"/>
      <c r="AS536" s="74"/>
      <c r="AT536" s="74"/>
      <c r="AU536" s="74"/>
      <c r="AV536" s="74"/>
      <c r="AW536" s="74"/>
      <c r="AX536" s="74"/>
      <c r="AY536" s="74"/>
      <c r="AZ536" s="74"/>
    </row>
    <row r="537">
      <c r="A537" s="71"/>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c r="AJ537" s="74"/>
      <c r="AK537" s="74"/>
      <c r="AL537" s="74"/>
      <c r="AM537" s="74"/>
      <c r="AN537" s="74"/>
      <c r="AO537" s="74"/>
      <c r="AP537" s="74"/>
      <c r="AQ537" s="74"/>
      <c r="AR537" s="74"/>
      <c r="AS537" s="74"/>
      <c r="AT537" s="74"/>
      <c r="AU537" s="74"/>
      <c r="AV537" s="74"/>
      <c r="AW537" s="74"/>
      <c r="AX537" s="74"/>
      <c r="AY537" s="74"/>
      <c r="AZ537" s="74"/>
    </row>
    <row r="538">
      <c r="A538" s="71"/>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c r="AJ538" s="74"/>
      <c r="AK538" s="74"/>
      <c r="AL538" s="74"/>
      <c r="AM538" s="74"/>
      <c r="AN538" s="74"/>
      <c r="AO538" s="74"/>
      <c r="AP538" s="74"/>
      <c r="AQ538" s="74"/>
      <c r="AR538" s="74"/>
      <c r="AS538" s="74"/>
      <c r="AT538" s="74"/>
      <c r="AU538" s="74"/>
      <c r="AV538" s="74"/>
      <c r="AW538" s="74"/>
      <c r="AX538" s="74"/>
      <c r="AY538" s="74"/>
      <c r="AZ538" s="74"/>
    </row>
    <row r="539">
      <c r="A539" s="71"/>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c r="AJ539" s="74"/>
      <c r="AK539" s="74"/>
      <c r="AL539" s="74"/>
      <c r="AM539" s="74"/>
      <c r="AN539" s="74"/>
      <c r="AO539" s="74"/>
      <c r="AP539" s="74"/>
      <c r="AQ539" s="74"/>
      <c r="AR539" s="74"/>
      <c r="AS539" s="74"/>
      <c r="AT539" s="74"/>
      <c r="AU539" s="74"/>
      <c r="AV539" s="74"/>
      <c r="AW539" s="74"/>
      <c r="AX539" s="74"/>
      <c r="AY539" s="74"/>
      <c r="AZ539" s="74"/>
    </row>
    <row r="540">
      <c r="A540" s="71"/>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c r="AJ540" s="74"/>
      <c r="AK540" s="74"/>
      <c r="AL540" s="74"/>
      <c r="AM540" s="74"/>
      <c r="AN540" s="74"/>
      <c r="AO540" s="74"/>
      <c r="AP540" s="74"/>
      <c r="AQ540" s="74"/>
      <c r="AR540" s="74"/>
      <c r="AS540" s="74"/>
      <c r="AT540" s="74"/>
      <c r="AU540" s="74"/>
      <c r="AV540" s="74"/>
      <c r="AW540" s="74"/>
      <c r="AX540" s="74"/>
      <c r="AY540" s="74"/>
      <c r="AZ540" s="74"/>
    </row>
    <row r="541">
      <c r="A541" s="71"/>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c r="AJ541" s="74"/>
      <c r="AK541" s="74"/>
      <c r="AL541" s="74"/>
      <c r="AM541" s="74"/>
      <c r="AN541" s="74"/>
      <c r="AO541" s="74"/>
      <c r="AP541" s="74"/>
      <c r="AQ541" s="74"/>
      <c r="AR541" s="74"/>
      <c r="AS541" s="74"/>
      <c r="AT541" s="74"/>
      <c r="AU541" s="74"/>
      <c r="AV541" s="74"/>
      <c r="AW541" s="74"/>
      <c r="AX541" s="74"/>
      <c r="AY541" s="74"/>
      <c r="AZ541" s="74"/>
    </row>
    <row r="542">
      <c r="A542" s="71"/>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c r="AJ542" s="74"/>
      <c r="AK542" s="74"/>
      <c r="AL542" s="74"/>
      <c r="AM542" s="74"/>
      <c r="AN542" s="74"/>
      <c r="AO542" s="74"/>
      <c r="AP542" s="74"/>
      <c r="AQ542" s="74"/>
      <c r="AR542" s="74"/>
      <c r="AS542" s="74"/>
      <c r="AT542" s="74"/>
      <c r="AU542" s="74"/>
      <c r="AV542" s="74"/>
      <c r="AW542" s="74"/>
      <c r="AX542" s="74"/>
      <c r="AY542" s="74"/>
      <c r="AZ542" s="74"/>
    </row>
    <row r="543">
      <c r="A543" s="71"/>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c r="AJ543" s="74"/>
      <c r="AK543" s="74"/>
      <c r="AL543" s="74"/>
      <c r="AM543" s="74"/>
      <c r="AN543" s="74"/>
      <c r="AO543" s="74"/>
      <c r="AP543" s="74"/>
      <c r="AQ543" s="74"/>
      <c r="AR543" s="74"/>
      <c r="AS543" s="74"/>
      <c r="AT543" s="74"/>
      <c r="AU543" s="74"/>
      <c r="AV543" s="74"/>
      <c r="AW543" s="74"/>
      <c r="AX543" s="74"/>
      <c r="AY543" s="74"/>
      <c r="AZ543" s="74"/>
    </row>
    <row r="544">
      <c r="A544" s="71"/>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c r="AM544" s="74"/>
      <c r="AN544" s="74"/>
      <c r="AO544" s="74"/>
      <c r="AP544" s="74"/>
      <c r="AQ544" s="74"/>
      <c r="AR544" s="74"/>
      <c r="AS544" s="74"/>
      <c r="AT544" s="74"/>
      <c r="AU544" s="74"/>
      <c r="AV544" s="74"/>
      <c r="AW544" s="74"/>
      <c r="AX544" s="74"/>
      <c r="AY544" s="74"/>
      <c r="AZ544" s="74"/>
    </row>
    <row r="545">
      <c r="A545" s="71"/>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c r="AJ545" s="74"/>
      <c r="AK545" s="74"/>
      <c r="AL545" s="74"/>
      <c r="AM545" s="74"/>
      <c r="AN545" s="74"/>
      <c r="AO545" s="74"/>
      <c r="AP545" s="74"/>
      <c r="AQ545" s="74"/>
      <c r="AR545" s="74"/>
      <c r="AS545" s="74"/>
      <c r="AT545" s="74"/>
      <c r="AU545" s="74"/>
      <c r="AV545" s="74"/>
      <c r="AW545" s="74"/>
      <c r="AX545" s="74"/>
      <c r="AY545" s="74"/>
      <c r="AZ545" s="74"/>
    </row>
    <row r="546">
      <c r="A546" s="71"/>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c r="AJ546" s="74"/>
      <c r="AK546" s="74"/>
      <c r="AL546" s="74"/>
      <c r="AM546" s="74"/>
      <c r="AN546" s="74"/>
      <c r="AO546" s="74"/>
      <c r="AP546" s="74"/>
      <c r="AQ546" s="74"/>
      <c r="AR546" s="74"/>
      <c r="AS546" s="74"/>
      <c r="AT546" s="74"/>
      <c r="AU546" s="74"/>
      <c r="AV546" s="74"/>
      <c r="AW546" s="74"/>
      <c r="AX546" s="74"/>
      <c r="AY546" s="74"/>
      <c r="AZ546" s="74"/>
    </row>
    <row r="547">
      <c r="A547" s="71"/>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c r="AJ547" s="74"/>
      <c r="AK547" s="74"/>
      <c r="AL547" s="74"/>
      <c r="AM547" s="74"/>
      <c r="AN547" s="74"/>
      <c r="AO547" s="74"/>
      <c r="AP547" s="74"/>
      <c r="AQ547" s="74"/>
      <c r="AR547" s="74"/>
      <c r="AS547" s="74"/>
      <c r="AT547" s="74"/>
      <c r="AU547" s="74"/>
      <c r="AV547" s="74"/>
      <c r="AW547" s="74"/>
      <c r="AX547" s="74"/>
      <c r="AY547" s="74"/>
      <c r="AZ547" s="74"/>
    </row>
    <row r="548">
      <c r="A548" s="71"/>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c r="AJ548" s="74"/>
      <c r="AK548" s="74"/>
      <c r="AL548" s="74"/>
      <c r="AM548" s="74"/>
      <c r="AN548" s="74"/>
      <c r="AO548" s="74"/>
      <c r="AP548" s="74"/>
      <c r="AQ548" s="74"/>
      <c r="AR548" s="74"/>
      <c r="AS548" s="74"/>
      <c r="AT548" s="74"/>
      <c r="AU548" s="74"/>
      <c r="AV548" s="74"/>
      <c r="AW548" s="74"/>
      <c r="AX548" s="74"/>
      <c r="AY548" s="74"/>
      <c r="AZ548" s="74"/>
    </row>
    <row r="549">
      <c r="A549" s="71"/>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c r="AJ549" s="74"/>
      <c r="AK549" s="74"/>
      <c r="AL549" s="74"/>
      <c r="AM549" s="74"/>
      <c r="AN549" s="74"/>
      <c r="AO549" s="74"/>
      <c r="AP549" s="74"/>
      <c r="AQ549" s="74"/>
      <c r="AR549" s="74"/>
      <c r="AS549" s="74"/>
      <c r="AT549" s="74"/>
      <c r="AU549" s="74"/>
      <c r="AV549" s="74"/>
      <c r="AW549" s="74"/>
      <c r="AX549" s="74"/>
      <c r="AY549" s="74"/>
      <c r="AZ549" s="74"/>
    </row>
    <row r="550">
      <c r="A550" s="71"/>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c r="AJ550" s="74"/>
      <c r="AK550" s="74"/>
      <c r="AL550" s="74"/>
      <c r="AM550" s="74"/>
      <c r="AN550" s="74"/>
      <c r="AO550" s="74"/>
      <c r="AP550" s="74"/>
      <c r="AQ550" s="74"/>
      <c r="AR550" s="74"/>
      <c r="AS550" s="74"/>
      <c r="AT550" s="74"/>
      <c r="AU550" s="74"/>
      <c r="AV550" s="74"/>
      <c r="AW550" s="74"/>
      <c r="AX550" s="74"/>
      <c r="AY550" s="74"/>
      <c r="AZ550" s="74"/>
    </row>
    <row r="551">
      <c r="A551" s="71"/>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c r="AJ551" s="74"/>
      <c r="AK551" s="74"/>
      <c r="AL551" s="74"/>
      <c r="AM551" s="74"/>
      <c r="AN551" s="74"/>
      <c r="AO551" s="74"/>
      <c r="AP551" s="74"/>
      <c r="AQ551" s="74"/>
      <c r="AR551" s="74"/>
      <c r="AS551" s="74"/>
      <c r="AT551" s="74"/>
      <c r="AU551" s="74"/>
      <c r="AV551" s="74"/>
      <c r="AW551" s="74"/>
      <c r="AX551" s="74"/>
      <c r="AY551" s="74"/>
      <c r="AZ551" s="74"/>
    </row>
    <row r="552">
      <c r="A552" s="71"/>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c r="AJ552" s="74"/>
      <c r="AK552" s="74"/>
      <c r="AL552" s="74"/>
      <c r="AM552" s="74"/>
      <c r="AN552" s="74"/>
      <c r="AO552" s="74"/>
      <c r="AP552" s="74"/>
      <c r="AQ552" s="74"/>
      <c r="AR552" s="74"/>
      <c r="AS552" s="74"/>
      <c r="AT552" s="74"/>
      <c r="AU552" s="74"/>
      <c r="AV552" s="74"/>
      <c r="AW552" s="74"/>
      <c r="AX552" s="74"/>
      <c r="AY552" s="74"/>
      <c r="AZ552" s="74"/>
    </row>
    <row r="553">
      <c r="A553" s="71"/>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c r="AJ553" s="74"/>
      <c r="AK553" s="74"/>
      <c r="AL553" s="74"/>
      <c r="AM553" s="74"/>
      <c r="AN553" s="74"/>
      <c r="AO553" s="74"/>
      <c r="AP553" s="74"/>
      <c r="AQ553" s="74"/>
      <c r="AR553" s="74"/>
      <c r="AS553" s="74"/>
      <c r="AT553" s="74"/>
      <c r="AU553" s="74"/>
      <c r="AV553" s="74"/>
      <c r="AW553" s="74"/>
      <c r="AX553" s="74"/>
      <c r="AY553" s="74"/>
      <c r="AZ553" s="74"/>
    </row>
    <row r="554">
      <c r="A554" s="71"/>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c r="AJ554" s="74"/>
      <c r="AK554" s="74"/>
      <c r="AL554" s="74"/>
      <c r="AM554" s="74"/>
      <c r="AN554" s="74"/>
      <c r="AO554" s="74"/>
      <c r="AP554" s="74"/>
      <c r="AQ554" s="74"/>
      <c r="AR554" s="74"/>
      <c r="AS554" s="74"/>
      <c r="AT554" s="74"/>
      <c r="AU554" s="74"/>
      <c r="AV554" s="74"/>
      <c r="AW554" s="74"/>
      <c r="AX554" s="74"/>
      <c r="AY554" s="74"/>
      <c r="AZ554" s="74"/>
    </row>
    <row r="555">
      <c r="A555" s="71"/>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c r="AJ555" s="74"/>
      <c r="AK555" s="74"/>
      <c r="AL555" s="74"/>
      <c r="AM555" s="74"/>
      <c r="AN555" s="74"/>
      <c r="AO555" s="74"/>
      <c r="AP555" s="74"/>
      <c r="AQ555" s="74"/>
      <c r="AR555" s="74"/>
      <c r="AS555" s="74"/>
      <c r="AT555" s="74"/>
      <c r="AU555" s="74"/>
      <c r="AV555" s="74"/>
      <c r="AW555" s="74"/>
      <c r="AX555" s="74"/>
      <c r="AY555" s="74"/>
      <c r="AZ555" s="74"/>
    </row>
    <row r="556">
      <c r="A556" s="71"/>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c r="AJ556" s="74"/>
      <c r="AK556" s="74"/>
      <c r="AL556" s="74"/>
      <c r="AM556" s="74"/>
      <c r="AN556" s="74"/>
      <c r="AO556" s="74"/>
      <c r="AP556" s="74"/>
      <c r="AQ556" s="74"/>
      <c r="AR556" s="74"/>
      <c r="AS556" s="74"/>
      <c r="AT556" s="74"/>
      <c r="AU556" s="74"/>
      <c r="AV556" s="74"/>
      <c r="AW556" s="74"/>
      <c r="AX556" s="74"/>
      <c r="AY556" s="74"/>
      <c r="AZ556" s="74"/>
    </row>
    <row r="557">
      <c r="A557" s="71"/>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c r="AJ557" s="74"/>
      <c r="AK557" s="74"/>
      <c r="AL557" s="74"/>
      <c r="AM557" s="74"/>
      <c r="AN557" s="74"/>
      <c r="AO557" s="74"/>
      <c r="AP557" s="74"/>
      <c r="AQ557" s="74"/>
      <c r="AR557" s="74"/>
      <c r="AS557" s="74"/>
      <c r="AT557" s="74"/>
      <c r="AU557" s="74"/>
      <c r="AV557" s="74"/>
      <c r="AW557" s="74"/>
      <c r="AX557" s="74"/>
      <c r="AY557" s="74"/>
      <c r="AZ557" s="74"/>
    </row>
    <row r="558">
      <c r="A558" s="71"/>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c r="AJ558" s="74"/>
      <c r="AK558" s="74"/>
      <c r="AL558" s="74"/>
      <c r="AM558" s="74"/>
      <c r="AN558" s="74"/>
      <c r="AO558" s="74"/>
      <c r="AP558" s="74"/>
      <c r="AQ558" s="74"/>
      <c r="AR558" s="74"/>
      <c r="AS558" s="74"/>
      <c r="AT558" s="74"/>
      <c r="AU558" s="74"/>
      <c r="AV558" s="74"/>
      <c r="AW558" s="74"/>
      <c r="AX558" s="74"/>
      <c r="AY558" s="74"/>
      <c r="AZ558" s="74"/>
    </row>
    <row r="559">
      <c r="A559" s="71"/>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c r="AJ559" s="74"/>
      <c r="AK559" s="74"/>
      <c r="AL559" s="74"/>
      <c r="AM559" s="74"/>
      <c r="AN559" s="74"/>
      <c r="AO559" s="74"/>
      <c r="AP559" s="74"/>
      <c r="AQ559" s="74"/>
      <c r="AR559" s="74"/>
      <c r="AS559" s="74"/>
      <c r="AT559" s="74"/>
      <c r="AU559" s="74"/>
      <c r="AV559" s="74"/>
      <c r="AW559" s="74"/>
      <c r="AX559" s="74"/>
      <c r="AY559" s="74"/>
      <c r="AZ559" s="74"/>
    </row>
    <row r="560">
      <c r="A560" s="71"/>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c r="AJ560" s="74"/>
      <c r="AK560" s="74"/>
      <c r="AL560" s="74"/>
      <c r="AM560" s="74"/>
      <c r="AN560" s="74"/>
      <c r="AO560" s="74"/>
      <c r="AP560" s="74"/>
      <c r="AQ560" s="74"/>
      <c r="AR560" s="74"/>
      <c r="AS560" s="74"/>
      <c r="AT560" s="74"/>
      <c r="AU560" s="74"/>
      <c r="AV560" s="74"/>
      <c r="AW560" s="74"/>
      <c r="AX560" s="74"/>
      <c r="AY560" s="74"/>
      <c r="AZ560" s="74"/>
    </row>
    <row r="561">
      <c r="A561" s="71"/>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c r="AJ561" s="74"/>
      <c r="AK561" s="74"/>
      <c r="AL561" s="74"/>
      <c r="AM561" s="74"/>
      <c r="AN561" s="74"/>
      <c r="AO561" s="74"/>
      <c r="AP561" s="74"/>
      <c r="AQ561" s="74"/>
      <c r="AR561" s="74"/>
      <c r="AS561" s="74"/>
      <c r="AT561" s="74"/>
      <c r="AU561" s="74"/>
      <c r="AV561" s="74"/>
      <c r="AW561" s="74"/>
      <c r="AX561" s="74"/>
      <c r="AY561" s="74"/>
      <c r="AZ561" s="74"/>
    </row>
    <row r="562">
      <c r="A562" s="71"/>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c r="AJ562" s="74"/>
      <c r="AK562" s="74"/>
      <c r="AL562" s="74"/>
      <c r="AM562" s="74"/>
      <c r="AN562" s="74"/>
      <c r="AO562" s="74"/>
      <c r="AP562" s="74"/>
      <c r="AQ562" s="74"/>
      <c r="AR562" s="74"/>
      <c r="AS562" s="74"/>
      <c r="AT562" s="74"/>
      <c r="AU562" s="74"/>
      <c r="AV562" s="74"/>
      <c r="AW562" s="74"/>
      <c r="AX562" s="74"/>
      <c r="AY562" s="74"/>
      <c r="AZ562" s="74"/>
    </row>
    <row r="563">
      <c r="A563" s="71"/>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c r="AJ563" s="74"/>
      <c r="AK563" s="74"/>
      <c r="AL563" s="74"/>
      <c r="AM563" s="74"/>
      <c r="AN563" s="74"/>
      <c r="AO563" s="74"/>
      <c r="AP563" s="74"/>
      <c r="AQ563" s="74"/>
      <c r="AR563" s="74"/>
      <c r="AS563" s="74"/>
      <c r="AT563" s="74"/>
      <c r="AU563" s="74"/>
      <c r="AV563" s="74"/>
      <c r="AW563" s="74"/>
      <c r="AX563" s="74"/>
      <c r="AY563" s="74"/>
      <c r="AZ563" s="74"/>
    </row>
    <row r="564">
      <c r="A564" s="71"/>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c r="AJ564" s="74"/>
      <c r="AK564" s="74"/>
      <c r="AL564" s="74"/>
      <c r="AM564" s="74"/>
      <c r="AN564" s="74"/>
      <c r="AO564" s="74"/>
      <c r="AP564" s="74"/>
      <c r="AQ564" s="74"/>
      <c r="AR564" s="74"/>
      <c r="AS564" s="74"/>
      <c r="AT564" s="74"/>
      <c r="AU564" s="74"/>
      <c r="AV564" s="74"/>
      <c r="AW564" s="74"/>
      <c r="AX564" s="74"/>
      <c r="AY564" s="74"/>
      <c r="AZ564" s="74"/>
    </row>
    <row r="565">
      <c r="A565" s="71"/>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c r="AJ565" s="74"/>
      <c r="AK565" s="74"/>
      <c r="AL565" s="74"/>
      <c r="AM565" s="74"/>
      <c r="AN565" s="74"/>
      <c r="AO565" s="74"/>
      <c r="AP565" s="74"/>
      <c r="AQ565" s="74"/>
      <c r="AR565" s="74"/>
      <c r="AS565" s="74"/>
      <c r="AT565" s="74"/>
      <c r="AU565" s="74"/>
      <c r="AV565" s="74"/>
      <c r="AW565" s="74"/>
      <c r="AX565" s="74"/>
      <c r="AY565" s="74"/>
      <c r="AZ565" s="74"/>
    </row>
    <row r="566">
      <c r="A566" s="71"/>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c r="AJ566" s="74"/>
      <c r="AK566" s="74"/>
      <c r="AL566" s="74"/>
      <c r="AM566" s="74"/>
      <c r="AN566" s="74"/>
      <c r="AO566" s="74"/>
      <c r="AP566" s="74"/>
      <c r="AQ566" s="74"/>
      <c r="AR566" s="74"/>
      <c r="AS566" s="74"/>
      <c r="AT566" s="74"/>
      <c r="AU566" s="74"/>
      <c r="AV566" s="74"/>
      <c r="AW566" s="74"/>
      <c r="AX566" s="74"/>
      <c r="AY566" s="74"/>
      <c r="AZ566" s="74"/>
    </row>
    <row r="567">
      <c r="A567" s="71"/>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c r="AJ567" s="74"/>
      <c r="AK567" s="74"/>
      <c r="AL567" s="74"/>
      <c r="AM567" s="74"/>
      <c r="AN567" s="74"/>
      <c r="AO567" s="74"/>
      <c r="AP567" s="74"/>
      <c r="AQ567" s="74"/>
      <c r="AR567" s="74"/>
      <c r="AS567" s="74"/>
      <c r="AT567" s="74"/>
      <c r="AU567" s="74"/>
      <c r="AV567" s="74"/>
      <c r="AW567" s="74"/>
      <c r="AX567" s="74"/>
      <c r="AY567" s="74"/>
      <c r="AZ567" s="74"/>
    </row>
    <row r="568">
      <c r="A568" s="71"/>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c r="AJ568" s="74"/>
      <c r="AK568" s="74"/>
      <c r="AL568" s="74"/>
      <c r="AM568" s="74"/>
      <c r="AN568" s="74"/>
      <c r="AO568" s="74"/>
      <c r="AP568" s="74"/>
      <c r="AQ568" s="74"/>
      <c r="AR568" s="74"/>
      <c r="AS568" s="74"/>
      <c r="AT568" s="74"/>
      <c r="AU568" s="74"/>
      <c r="AV568" s="74"/>
      <c r="AW568" s="74"/>
      <c r="AX568" s="74"/>
      <c r="AY568" s="74"/>
      <c r="AZ568" s="74"/>
    </row>
    <row r="569">
      <c r="A569" s="71"/>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c r="AJ569" s="74"/>
      <c r="AK569" s="74"/>
      <c r="AL569" s="74"/>
      <c r="AM569" s="74"/>
      <c r="AN569" s="74"/>
      <c r="AO569" s="74"/>
      <c r="AP569" s="74"/>
      <c r="AQ569" s="74"/>
      <c r="AR569" s="74"/>
      <c r="AS569" s="74"/>
      <c r="AT569" s="74"/>
      <c r="AU569" s="74"/>
      <c r="AV569" s="74"/>
      <c r="AW569" s="74"/>
      <c r="AX569" s="74"/>
      <c r="AY569" s="74"/>
      <c r="AZ569" s="74"/>
    </row>
    <row r="570">
      <c r="A570" s="71"/>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c r="AJ570" s="74"/>
      <c r="AK570" s="74"/>
      <c r="AL570" s="74"/>
      <c r="AM570" s="74"/>
      <c r="AN570" s="74"/>
      <c r="AO570" s="74"/>
      <c r="AP570" s="74"/>
      <c r="AQ570" s="74"/>
      <c r="AR570" s="74"/>
      <c r="AS570" s="74"/>
      <c r="AT570" s="74"/>
      <c r="AU570" s="74"/>
      <c r="AV570" s="74"/>
      <c r="AW570" s="74"/>
      <c r="AX570" s="74"/>
      <c r="AY570" s="74"/>
      <c r="AZ570" s="74"/>
    </row>
    <row r="571">
      <c r="A571" s="71"/>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c r="AJ571" s="74"/>
      <c r="AK571" s="74"/>
      <c r="AL571" s="74"/>
      <c r="AM571" s="74"/>
      <c r="AN571" s="74"/>
      <c r="AO571" s="74"/>
      <c r="AP571" s="74"/>
      <c r="AQ571" s="74"/>
      <c r="AR571" s="74"/>
      <c r="AS571" s="74"/>
      <c r="AT571" s="74"/>
      <c r="AU571" s="74"/>
      <c r="AV571" s="74"/>
      <c r="AW571" s="74"/>
      <c r="AX571" s="74"/>
      <c r="AY571" s="74"/>
      <c r="AZ571" s="74"/>
    </row>
    <row r="572">
      <c r="A572" s="71"/>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c r="AJ572" s="74"/>
      <c r="AK572" s="74"/>
      <c r="AL572" s="74"/>
      <c r="AM572" s="74"/>
      <c r="AN572" s="74"/>
      <c r="AO572" s="74"/>
      <c r="AP572" s="74"/>
      <c r="AQ572" s="74"/>
      <c r="AR572" s="74"/>
      <c r="AS572" s="74"/>
      <c r="AT572" s="74"/>
      <c r="AU572" s="74"/>
      <c r="AV572" s="74"/>
      <c r="AW572" s="74"/>
      <c r="AX572" s="74"/>
      <c r="AY572" s="74"/>
      <c r="AZ572" s="74"/>
    </row>
    <row r="573">
      <c r="A573" s="71"/>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c r="AJ573" s="74"/>
      <c r="AK573" s="74"/>
      <c r="AL573" s="74"/>
      <c r="AM573" s="74"/>
      <c r="AN573" s="74"/>
      <c r="AO573" s="74"/>
      <c r="AP573" s="74"/>
      <c r="AQ573" s="74"/>
      <c r="AR573" s="74"/>
      <c r="AS573" s="74"/>
      <c r="AT573" s="74"/>
      <c r="AU573" s="74"/>
      <c r="AV573" s="74"/>
      <c r="AW573" s="74"/>
      <c r="AX573" s="74"/>
      <c r="AY573" s="74"/>
      <c r="AZ573" s="74"/>
    </row>
    <row r="574">
      <c r="A574" s="71"/>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c r="AM574" s="74"/>
      <c r="AN574" s="74"/>
      <c r="AO574" s="74"/>
      <c r="AP574" s="74"/>
      <c r="AQ574" s="74"/>
      <c r="AR574" s="74"/>
      <c r="AS574" s="74"/>
      <c r="AT574" s="74"/>
      <c r="AU574" s="74"/>
      <c r="AV574" s="74"/>
      <c r="AW574" s="74"/>
      <c r="AX574" s="74"/>
      <c r="AY574" s="74"/>
      <c r="AZ574" s="74"/>
    </row>
    <row r="575">
      <c r="A575" s="71"/>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c r="AJ575" s="74"/>
      <c r="AK575" s="74"/>
      <c r="AL575" s="74"/>
      <c r="AM575" s="74"/>
      <c r="AN575" s="74"/>
      <c r="AO575" s="74"/>
      <c r="AP575" s="74"/>
      <c r="AQ575" s="74"/>
      <c r="AR575" s="74"/>
      <c r="AS575" s="74"/>
      <c r="AT575" s="74"/>
      <c r="AU575" s="74"/>
      <c r="AV575" s="74"/>
      <c r="AW575" s="74"/>
      <c r="AX575" s="74"/>
      <c r="AY575" s="74"/>
      <c r="AZ575" s="74"/>
    </row>
    <row r="576">
      <c r="A576" s="71"/>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c r="AJ576" s="74"/>
      <c r="AK576" s="74"/>
      <c r="AL576" s="74"/>
      <c r="AM576" s="74"/>
      <c r="AN576" s="74"/>
      <c r="AO576" s="74"/>
      <c r="AP576" s="74"/>
      <c r="AQ576" s="74"/>
      <c r="AR576" s="74"/>
      <c r="AS576" s="74"/>
      <c r="AT576" s="74"/>
      <c r="AU576" s="74"/>
      <c r="AV576" s="74"/>
      <c r="AW576" s="74"/>
      <c r="AX576" s="74"/>
      <c r="AY576" s="74"/>
      <c r="AZ576" s="74"/>
    </row>
    <row r="577">
      <c r="A577" s="71"/>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c r="AJ577" s="74"/>
      <c r="AK577" s="74"/>
      <c r="AL577" s="74"/>
      <c r="AM577" s="74"/>
      <c r="AN577" s="74"/>
      <c r="AO577" s="74"/>
      <c r="AP577" s="74"/>
      <c r="AQ577" s="74"/>
      <c r="AR577" s="74"/>
      <c r="AS577" s="74"/>
      <c r="AT577" s="74"/>
      <c r="AU577" s="74"/>
      <c r="AV577" s="74"/>
      <c r="AW577" s="74"/>
      <c r="AX577" s="74"/>
      <c r="AY577" s="74"/>
      <c r="AZ577" s="74"/>
    </row>
    <row r="578">
      <c r="A578" s="71"/>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c r="AJ578" s="74"/>
      <c r="AK578" s="74"/>
      <c r="AL578" s="74"/>
      <c r="AM578" s="74"/>
      <c r="AN578" s="74"/>
      <c r="AO578" s="74"/>
      <c r="AP578" s="74"/>
      <c r="AQ578" s="74"/>
      <c r="AR578" s="74"/>
      <c r="AS578" s="74"/>
      <c r="AT578" s="74"/>
      <c r="AU578" s="74"/>
      <c r="AV578" s="74"/>
      <c r="AW578" s="74"/>
      <c r="AX578" s="74"/>
      <c r="AY578" s="74"/>
      <c r="AZ578" s="74"/>
    </row>
    <row r="579">
      <c r="A579" s="71"/>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c r="AJ579" s="74"/>
      <c r="AK579" s="74"/>
      <c r="AL579" s="74"/>
      <c r="AM579" s="74"/>
      <c r="AN579" s="74"/>
      <c r="AO579" s="74"/>
      <c r="AP579" s="74"/>
      <c r="AQ579" s="74"/>
      <c r="AR579" s="74"/>
      <c r="AS579" s="74"/>
      <c r="AT579" s="74"/>
      <c r="AU579" s="74"/>
      <c r="AV579" s="74"/>
      <c r="AW579" s="74"/>
      <c r="AX579" s="74"/>
      <c r="AY579" s="74"/>
      <c r="AZ579" s="74"/>
    </row>
    <row r="580">
      <c r="A580" s="71"/>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c r="AO580" s="74"/>
      <c r="AP580" s="74"/>
      <c r="AQ580" s="74"/>
      <c r="AR580" s="74"/>
      <c r="AS580" s="74"/>
      <c r="AT580" s="74"/>
      <c r="AU580" s="74"/>
      <c r="AV580" s="74"/>
      <c r="AW580" s="74"/>
      <c r="AX580" s="74"/>
      <c r="AY580" s="74"/>
      <c r="AZ580" s="74"/>
    </row>
    <row r="581">
      <c r="A581" s="71"/>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c r="AJ581" s="74"/>
      <c r="AK581" s="74"/>
      <c r="AL581" s="74"/>
      <c r="AM581" s="74"/>
      <c r="AN581" s="74"/>
      <c r="AO581" s="74"/>
      <c r="AP581" s="74"/>
      <c r="AQ581" s="74"/>
      <c r="AR581" s="74"/>
      <c r="AS581" s="74"/>
      <c r="AT581" s="74"/>
      <c r="AU581" s="74"/>
      <c r="AV581" s="74"/>
      <c r="AW581" s="74"/>
      <c r="AX581" s="74"/>
      <c r="AY581" s="74"/>
      <c r="AZ581" s="74"/>
    </row>
    <row r="582">
      <c r="A582" s="71"/>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c r="AJ582" s="74"/>
      <c r="AK582" s="74"/>
      <c r="AL582" s="74"/>
      <c r="AM582" s="74"/>
      <c r="AN582" s="74"/>
      <c r="AO582" s="74"/>
      <c r="AP582" s="74"/>
      <c r="AQ582" s="74"/>
      <c r="AR582" s="74"/>
      <c r="AS582" s="74"/>
      <c r="AT582" s="74"/>
      <c r="AU582" s="74"/>
      <c r="AV582" s="74"/>
      <c r="AW582" s="74"/>
      <c r="AX582" s="74"/>
      <c r="AY582" s="74"/>
      <c r="AZ582" s="74"/>
    </row>
    <row r="583">
      <c r="A583" s="71"/>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c r="AJ583" s="74"/>
      <c r="AK583" s="74"/>
      <c r="AL583" s="74"/>
      <c r="AM583" s="74"/>
      <c r="AN583" s="74"/>
      <c r="AO583" s="74"/>
      <c r="AP583" s="74"/>
      <c r="AQ583" s="74"/>
      <c r="AR583" s="74"/>
      <c r="AS583" s="74"/>
      <c r="AT583" s="74"/>
      <c r="AU583" s="74"/>
      <c r="AV583" s="74"/>
      <c r="AW583" s="74"/>
      <c r="AX583" s="74"/>
      <c r="AY583" s="74"/>
      <c r="AZ583" s="74"/>
    </row>
    <row r="584">
      <c r="A584" s="71"/>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c r="AJ584" s="74"/>
      <c r="AK584" s="74"/>
      <c r="AL584" s="74"/>
      <c r="AM584" s="74"/>
      <c r="AN584" s="74"/>
      <c r="AO584" s="74"/>
      <c r="AP584" s="74"/>
      <c r="AQ584" s="74"/>
      <c r="AR584" s="74"/>
      <c r="AS584" s="74"/>
      <c r="AT584" s="74"/>
      <c r="AU584" s="74"/>
      <c r="AV584" s="74"/>
      <c r="AW584" s="74"/>
      <c r="AX584" s="74"/>
      <c r="AY584" s="74"/>
      <c r="AZ584" s="74"/>
    </row>
    <row r="585">
      <c r="A585" s="71"/>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c r="AJ585" s="74"/>
      <c r="AK585" s="74"/>
      <c r="AL585" s="74"/>
      <c r="AM585" s="74"/>
      <c r="AN585" s="74"/>
      <c r="AO585" s="74"/>
      <c r="AP585" s="74"/>
      <c r="AQ585" s="74"/>
      <c r="AR585" s="74"/>
      <c r="AS585" s="74"/>
      <c r="AT585" s="74"/>
      <c r="AU585" s="74"/>
      <c r="AV585" s="74"/>
      <c r="AW585" s="74"/>
      <c r="AX585" s="74"/>
      <c r="AY585" s="74"/>
      <c r="AZ585" s="74"/>
    </row>
    <row r="586">
      <c r="A586" s="71"/>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c r="AJ586" s="74"/>
      <c r="AK586" s="74"/>
      <c r="AL586" s="74"/>
      <c r="AM586" s="74"/>
      <c r="AN586" s="74"/>
      <c r="AO586" s="74"/>
      <c r="AP586" s="74"/>
      <c r="AQ586" s="74"/>
      <c r="AR586" s="74"/>
      <c r="AS586" s="74"/>
      <c r="AT586" s="74"/>
      <c r="AU586" s="74"/>
      <c r="AV586" s="74"/>
      <c r="AW586" s="74"/>
      <c r="AX586" s="74"/>
      <c r="AY586" s="74"/>
      <c r="AZ586" s="74"/>
    </row>
    <row r="587">
      <c r="A587" s="71"/>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c r="AJ587" s="74"/>
      <c r="AK587" s="74"/>
      <c r="AL587" s="74"/>
      <c r="AM587" s="74"/>
      <c r="AN587" s="74"/>
      <c r="AO587" s="74"/>
      <c r="AP587" s="74"/>
      <c r="AQ587" s="74"/>
      <c r="AR587" s="74"/>
      <c r="AS587" s="74"/>
      <c r="AT587" s="74"/>
      <c r="AU587" s="74"/>
      <c r="AV587" s="74"/>
      <c r="AW587" s="74"/>
      <c r="AX587" s="74"/>
      <c r="AY587" s="74"/>
      <c r="AZ587" s="74"/>
    </row>
    <row r="588">
      <c r="A588" s="71"/>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c r="AJ588" s="74"/>
      <c r="AK588" s="74"/>
      <c r="AL588" s="74"/>
      <c r="AM588" s="74"/>
      <c r="AN588" s="74"/>
      <c r="AO588" s="74"/>
      <c r="AP588" s="74"/>
      <c r="AQ588" s="74"/>
      <c r="AR588" s="74"/>
      <c r="AS588" s="74"/>
      <c r="AT588" s="74"/>
      <c r="AU588" s="74"/>
      <c r="AV588" s="74"/>
      <c r="AW588" s="74"/>
      <c r="AX588" s="74"/>
      <c r="AY588" s="74"/>
      <c r="AZ588" s="74"/>
    </row>
    <row r="589">
      <c r="A589" s="71"/>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c r="AJ589" s="74"/>
      <c r="AK589" s="74"/>
      <c r="AL589" s="74"/>
      <c r="AM589" s="74"/>
      <c r="AN589" s="74"/>
      <c r="AO589" s="74"/>
      <c r="AP589" s="74"/>
      <c r="AQ589" s="74"/>
      <c r="AR589" s="74"/>
      <c r="AS589" s="74"/>
      <c r="AT589" s="74"/>
      <c r="AU589" s="74"/>
      <c r="AV589" s="74"/>
      <c r="AW589" s="74"/>
      <c r="AX589" s="74"/>
      <c r="AY589" s="74"/>
      <c r="AZ589" s="74"/>
    </row>
    <row r="590">
      <c r="A590" s="71"/>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c r="AJ590" s="74"/>
      <c r="AK590" s="74"/>
      <c r="AL590" s="74"/>
      <c r="AM590" s="74"/>
      <c r="AN590" s="74"/>
      <c r="AO590" s="74"/>
      <c r="AP590" s="74"/>
      <c r="AQ590" s="74"/>
      <c r="AR590" s="74"/>
      <c r="AS590" s="74"/>
      <c r="AT590" s="74"/>
      <c r="AU590" s="74"/>
      <c r="AV590" s="74"/>
      <c r="AW590" s="74"/>
      <c r="AX590" s="74"/>
      <c r="AY590" s="74"/>
      <c r="AZ590" s="74"/>
    </row>
    <row r="591">
      <c r="A591" s="71"/>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c r="AJ591" s="74"/>
      <c r="AK591" s="74"/>
      <c r="AL591" s="74"/>
      <c r="AM591" s="74"/>
      <c r="AN591" s="74"/>
      <c r="AO591" s="74"/>
      <c r="AP591" s="74"/>
      <c r="AQ591" s="74"/>
      <c r="AR591" s="74"/>
      <c r="AS591" s="74"/>
      <c r="AT591" s="74"/>
      <c r="AU591" s="74"/>
      <c r="AV591" s="74"/>
      <c r="AW591" s="74"/>
      <c r="AX591" s="74"/>
      <c r="AY591" s="74"/>
      <c r="AZ591" s="74"/>
    </row>
    <row r="592">
      <c r="A592" s="71"/>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c r="AJ592" s="74"/>
      <c r="AK592" s="74"/>
      <c r="AL592" s="74"/>
      <c r="AM592" s="74"/>
      <c r="AN592" s="74"/>
      <c r="AO592" s="74"/>
      <c r="AP592" s="74"/>
      <c r="AQ592" s="74"/>
      <c r="AR592" s="74"/>
      <c r="AS592" s="74"/>
      <c r="AT592" s="74"/>
      <c r="AU592" s="74"/>
      <c r="AV592" s="74"/>
      <c r="AW592" s="74"/>
      <c r="AX592" s="74"/>
      <c r="AY592" s="74"/>
      <c r="AZ592" s="74"/>
    </row>
    <row r="593">
      <c r="A593" s="71"/>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c r="AJ593" s="74"/>
      <c r="AK593" s="74"/>
      <c r="AL593" s="74"/>
      <c r="AM593" s="74"/>
      <c r="AN593" s="74"/>
      <c r="AO593" s="74"/>
      <c r="AP593" s="74"/>
      <c r="AQ593" s="74"/>
      <c r="AR593" s="74"/>
      <c r="AS593" s="74"/>
      <c r="AT593" s="74"/>
      <c r="AU593" s="74"/>
      <c r="AV593" s="74"/>
      <c r="AW593" s="74"/>
      <c r="AX593" s="74"/>
      <c r="AY593" s="74"/>
      <c r="AZ593" s="74"/>
    </row>
    <row r="594">
      <c r="A594" s="71"/>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c r="AJ594" s="74"/>
      <c r="AK594" s="74"/>
      <c r="AL594" s="74"/>
      <c r="AM594" s="74"/>
      <c r="AN594" s="74"/>
      <c r="AO594" s="74"/>
      <c r="AP594" s="74"/>
      <c r="AQ594" s="74"/>
      <c r="AR594" s="74"/>
      <c r="AS594" s="74"/>
      <c r="AT594" s="74"/>
      <c r="AU594" s="74"/>
      <c r="AV594" s="74"/>
      <c r="AW594" s="74"/>
      <c r="AX594" s="74"/>
      <c r="AY594" s="74"/>
      <c r="AZ594" s="74"/>
    </row>
    <row r="595">
      <c r="A595" s="71"/>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c r="AJ595" s="74"/>
      <c r="AK595" s="74"/>
      <c r="AL595" s="74"/>
      <c r="AM595" s="74"/>
      <c r="AN595" s="74"/>
      <c r="AO595" s="74"/>
      <c r="AP595" s="74"/>
      <c r="AQ595" s="74"/>
      <c r="AR595" s="74"/>
      <c r="AS595" s="74"/>
      <c r="AT595" s="74"/>
      <c r="AU595" s="74"/>
      <c r="AV595" s="74"/>
      <c r="AW595" s="74"/>
      <c r="AX595" s="74"/>
      <c r="AY595" s="74"/>
      <c r="AZ595" s="74"/>
    </row>
    <row r="596">
      <c r="A596" s="71"/>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c r="AJ596" s="74"/>
      <c r="AK596" s="74"/>
      <c r="AL596" s="74"/>
      <c r="AM596" s="74"/>
      <c r="AN596" s="74"/>
      <c r="AO596" s="74"/>
      <c r="AP596" s="74"/>
      <c r="AQ596" s="74"/>
      <c r="AR596" s="74"/>
      <c r="AS596" s="74"/>
      <c r="AT596" s="74"/>
      <c r="AU596" s="74"/>
      <c r="AV596" s="74"/>
      <c r="AW596" s="74"/>
      <c r="AX596" s="74"/>
      <c r="AY596" s="74"/>
      <c r="AZ596" s="74"/>
    </row>
    <row r="597">
      <c r="A597" s="71"/>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c r="AJ597" s="74"/>
      <c r="AK597" s="74"/>
      <c r="AL597" s="74"/>
      <c r="AM597" s="74"/>
      <c r="AN597" s="74"/>
      <c r="AO597" s="74"/>
      <c r="AP597" s="74"/>
      <c r="AQ597" s="74"/>
      <c r="AR597" s="74"/>
      <c r="AS597" s="74"/>
      <c r="AT597" s="74"/>
      <c r="AU597" s="74"/>
      <c r="AV597" s="74"/>
      <c r="AW597" s="74"/>
      <c r="AX597" s="74"/>
      <c r="AY597" s="74"/>
      <c r="AZ597" s="74"/>
    </row>
    <row r="598">
      <c r="A598" s="71"/>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c r="AJ598" s="74"/>
      <c r="AK598" s="74"/>
      <c r="AL598" s="74"/>
      <c r="AM598" s="74"/>
      <c r="AN598" s="74"/>
      <c r="AO598" s="74"/>
      <c r="AP598" s="74"/>
      <c r="AQ598" s="74"/>
      <c r="AR598" s="74"/>
      <c r="AS598" s="74"/>
      <c r="AT598" s="74"/>
      <c r="AU598" s="74"/>
      <c r="AV598" s="74"/>
      <c r="AW598" s="74"/>
      <c r="AX598" s="74"/>
      <c r="AY598" s="74"/>
      <c r="AZ598" s="74"/>
    </row>
    <row r="599">
      <c r="A599" s="71"/>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c r="AJ599" s="74"/>
      <c r="AK599" s="74"/>
      <c r="AL599" s="74"/>
      <c r="AM599" s="74"/>
      <c r="AN599" s="74"/>
      <c r="AO599" s="74"/>
      <c r="AP599" s="74"/>
      <c r="AQ599" s="74"/>
      <c r="AR599" s="74"/>
      <c r="AS599" s="74"/>
      <c r="AT599" s="74"/>
      <c r="AU599" s="74"/>
      <c r="AV599" s="74"/>
      <c r="AW599" s="74"/>
      <c r="AX599" s="74"/>
      <c r="AY599" s="74"/>
      <c r="AZ599" s="74"/>
    </row>
    <row r="600">
      <c r="A600" s="71"/>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c r="AJ600" s="74"/>
      <c r="AK600" s="74"/>
      <c r="AL600" s="74"/>
      <c r="AM600" s="74"/>
      <c r="AN600" s="74"/>
      <c r="AO600" s="74"/>
      <c r="AP600" s="74"/>
      <c r="AQ600" s="74"/>
      <c r="AR600" s="74"/>
      <c r="AS600" s="74"/>
      <c r="AT600" s="74"/>
      <c r="AU600" s="74"/>
      <c r="AV600" s="74"/>
      <c r="AW600" s="74"/>
      <c r="AX600" s="74"/>
      <c r="AY600" s="74"/>
      <c r="AZ600" s="74"/>
    </row>
    <row r="601">
      <c r="A601" s="71"/>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c r="AJ601" s="74"/>
      <c r="AK601" s="74"/>
      <c r="AL601" s="74"/>
      <c r="AM601" s="74"/>
      <c r="AN601" s="74"/>
      <c r="AO601" s="74"/>
      <c r="AP601" s="74"/>
      <c r="AQ601" s="74"/>
      <c r="AR601" s="74"/>
      <c r="AS601" s="74"/>
      <c r="AT601" s="74"/>
      <c r="AU601" s="74"/>
      <c r="AV601" s="74"/>
      <c r="AW601" s="74"/>
      <c r="AX601" s="74"/>
      <c r="AY601" s="74"/>
      <c r="AZ601" s="74"/>
    </row>
    <row r="602">
      <c r="A602" s="71"/>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c r="AM602" s="74"/>
      <c r="AN602" s="74"/>
      <c r="AO602" s="74"/>
      <c r="AP602" s="74"/>
      <c r="AQ602" s="74"/>
      <c r="AR602" s="74"/>
      <c r="AS602" s="74"/>
      <c r="AT602" s="74"/>
      <c r="AU602" s="74"/>
      <c r="AV602" s="74"/>
      <c r="AW602" s="74"/>
      <c r="AX602" s="74"/>
      <c r="AY602" s="74"/>
      <c r="AZ602" s="74"/>
    </row>
    <row r="603">
      <c r="A603" s="71"/>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c r="AJ603" s="74"/>
      <c r="AK603" s="74"/>
      <c r="AL603" s="74"/>
      <c r="AM603" s="74"/>
      <c r="AN603" s="74"/>
      <c r="AO603" s="74"/>
      <c r="AP603" s="74"/>
      <c r="AQ603" s="74"/>
      <c r="AR603" s="74"/>
      <c r="AS603" s="74"/>
      <c r="AT603" s="74"/>
      <c r="AU603" s="74"/>
      <c r="AV603" s="74"/>
      <c r="AW603" s="74"/>
      <c r="AX603" s="74"/>
      <c r="AY603" s="74"/>
      <c r="AZ603" s="74"/>
    </row>
    <row r="604">
      <c r="A604" s="71"/>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c r="AJ604" s="74"/>
      <c r="AK604" s="74"/>
      <c r="AL604" s="74"/>
      <c r="AM604" s="74"/>
      <c r="AN604" s="74"/>
      <c r="AO604" s="74"/>
      <c r="AP604" s="74"/>
      <c r="AQ604" s="74"/>
      <c r="AR604" s="74"/>
      <c r="AS604" s="74"/>
      <c r="AT604" s="74"/>
      <c r="AU604" s="74"/>
      <c r="AV604" s="74"/>
      <c r="AW604" s="74"/>
      <c r="AX604" s="74"/>
      <c r="AY604" s="74"/>
      <c r="AZ604" s="74"/>
    </row>
    <row r="605">
      <c r="A605" s="71"/>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c r="AJ605" s="74"/>
      <c r="AK605" s="74"/>
      <c r="AL605" s="74"/>
      <c r="AM605" s="74"/>
      <c r="AN605" s="74"/>
      <c r="AO605" s="74"/>
      <c r="AP605" s="74"/>
      <c r="AQ605" s="74"/>
      <c r="AR605" s="74"/>
      <c r="AS605" s="74"/>
      <c r="AT605" s="74"/>
      <c r="AU605" s="74"/>
      <c r="AV605" s="74"/>
      <c r="AW605" s="74"/>
      <c r="AX605" s="74"/>
      <c r="AY605" s="74"/>
      <c r="AZ605" s="74"/>
    </row>
    <row r="606">
      <c r="A606" s="71"/>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c r="AJ606" s="74"/>
      <c r="AK606" s="74"/>
      <c r="AL606" s="74"/>
      <c r="AM606" s="74"/>
      <c r="AN606" s="74"/>
      <c r="AO606" s="74"/>
      <c r="AP606" s="74"/>
      <c r="AQ606" s="74"/>
      <c r="AR606" s="74"/>
      <c r="AS606" s="74"/>
      <c r="AT606" s="74"/>
      <c r="AU606" s="74"/>
      <c r="AV606" s="74"/>
      <c r="AW606" s="74"/>
      <c r="AX606" s="74"/>
      <c r="AY606" s="74"/>
      <c r="AZ606" s="74"/>
    </row>
    <row r="607">
      <c r="A607" s="71"/>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c r="AJ607" s="74"/>
      <c r="AK607" s="74"/>
      <c r="AL607" s="74"/>
      <c r="AM607" s="74"/>
      <c r="AN607" s="74"/>
      <c r="AO607" s="74"/>
      <c r="AP607" s="74"/>
      <c r="AQ607" s="74"/>
      <c r="AR607" s="74"/>
      <c r="AS607" s="74"/>
      <c r="AT607" s="74"/>
      <c r="AU607" s="74"/>
      <c r="AV607" s="74"/>
      <c r="AW607" s="74"/>
      <c r="AX607" s="74"/>
      <c r="AY607" s="74"/>
      <c r="AZ607" s="74"/>
    </row>
    <row r="608">
      <c r="A608" s="71"/>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c r="AJ608" s="74"/>
      <c r="AK608" s="74"/>
      <c r="AL608" s="74"/>
      <c r="AM608" s="74"/>
      <c r="AN608" s="74"/>
      <c r="AO608" s="74"/>
      <c r="AP608" s="74"/>
      <c r="AQ608" s="74"/>
      <c r="AR608" s="74"/>
      <c r="AS608" s="74"/>
      <c r="AT608" s="74"/>
      <c r="AU608" s="74"/>
      <c r="AV608" s="74"/>
      <c r="AW608" s="74"/>
      <c r="AX608" s="74"/>
      <c r="AY608" s="74"/>
      <c r="AZ608" s="74"/>
    </row>
    <row r="609">
      <c r="A609" s="71"/>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c r="AJ609" s="74"/>
      <c r="AK609" s="74"/>
      <c r="AL609" s="74"/>
      <c r="AM609" s="74"/>
      <c r="AN609" s="74"/>
      <c r="AO609" s="74"/>
      <c r="AP609" s="74"/>
      <c r="AQ609" s="74"/>
      <c r="AR609" s="74"/>
      <c r="AS609" s="74"/>
      <c r="AT609" s="74"/>
      <c r="AU609" s="74"/>
      <c r="AV609" s="74"/>
      <c r="AW609" s="74"/>
      <c r="AX609" s="74"/>
      <c r="AY609" s="74"/>
      <c r="AZ609" s="74"/>
    </row>
    <row r="610">
      <c r="A610" s="71"/>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c r="AJ610" s="74"/>
      <c r="AK610" s="74"/>
      <c r="AL610" s="74"/>
      <c r="AM610" s="74"/>
      <c r="AN610" s="74"/>
      <c r="AO610" s="74"/>
      <c r="AP610" s="74"/>
      <c r="AQ610" s="74"/>
      <c r="AR610" s="74"/>
      <c r="AS610" s="74"/>
      <c r="AT610" s="74"/>
      <c r="AU610" s="74"/>
      <c r="AV610" s="74"/>
      <c r="AW610" s="74"/>
      <c r="AX610" s="74"/>
      <c r="AY610" s="74"/>
      <c r="AZ610" s="74"/>
    </row>
    <row r="611">
      <c r="A611" s="71"/>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c r="AJ611" s="74"/>
      <c r="AK611" s="74"/>
      <c r="AL611" s="74"/>
      <c r="AM611" s="74"/>
      <c r="AN611" s="74"/>
      <c r="AO611" s="74"/>
      <c r="AP611" s="74"/>
      <c r="AQ611" s="74"/>
      <c r="AR611" s="74"/>
      <c r="AS611" s="74"/>
      <c r="AT611" s="74"/>
      <c r="AU611" s="74"/>
      <c r="AV611" s="74"/>
      <c r="AW611" s="74"/>
      <c r="AX611" s="74"/>
      <c r="AY611" s="74"/>
      <c r="AZ611" s="74"/>
    </row>
    <row r="612">
      <c r="A612" s="71"/>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c r="AJ612" s="74"/>
      <c r="AK612" s="74"/>
      <c r="AL612" s="74"/>
      <c r="AM612" s="74"/>
      <c r="AN612" s="74"/>
      <c r="AO612" s="74"/>
      <c r="AP612" s="74"/>
      <c r="AQ612" s="74"/>
      <c r="AR612" s="74"/>
      <c r="AS612" s="74"/>
      <c r="AT612" s="74"/>
      <c r="AU612" s="74"/>
      <c r="AV612" s="74"/>
      <c r="AW612" s="74"/>
      <c r="AX612" s="74"/>
      <c r="AY612" s="74"/>
      <c r="AZ612" s="74"/>
    </row>
    <row r="613">
      <c r="A613" s="71"/>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c r="AJ613" s="74"/>
      <c r="AK613" s="74"/>
      <c r="AL613" s="74"/>
      <c r="AM613" s="74"/>
      <c r="AN613" s="74"/>
      <c r="AO613" s="74"/>
      <c r="AP613" s="74"/>
      <c r="AQ613" s="74"/>
      <c r="AR613" s="74"/>
      <c r="AS613" s="74"/>
      <c r="AT613" s="74"/>
      <c r="AU613" s="74"/>
      <c r="AV613" s="74"/>
      <c r="AW613" s="74"/>
      <c r="AX613" s="74"/>
      <c r="AY613" s="74"/>
      <c r="AZ613" s="74"/>
    </row>
    <row r="614">
      <c r="A614" s="71"/>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c r="AJ614" s="74"/>
      <c r="AK614" s="74"/>
      <c r="AL614" s="74"/>
      <c r="AM614" s="74"/>
      <c r="AN614" s="74"/>
      <c r="AO614" s="74"/>
      <c r="AP614" s="74"/>
      <c r="AQ614" s="74"/>
      <c r="AR614" s="74"/>
      <c r="AS614" s="74"/>
      <c r="AT614" s="74"/>
      <c r="AU614" s="74"/>
      <c r="AV614" s="74"/>
      <c r="AW614" s="74"/>
      <c r="AX614" s="74"/>
      <c r="AY614" s="74"/>
      <c r="AZ614" s="74"/>
    </row>
    <row r="615">
      <c r="A615" s="71"/>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c r="AJ615" s="74"/>
      <c r="AK615" s="74"/>
      <c r="AL615" s="74"/>
      <c r="AM615" s="74"/>
      <c r="AN615" s="74"/>
      <c r="AO615" s="74"/>
      <c r="AP615" s="74"/>
      <c r="AQ615" s="74"/>
      <c r="AR615" s="74"/>
      <c r="AS615" s="74"/>
      <c r="AT615" s="74"/>
      <c r="AU615" s="74"/>
      <c r="AV615" s="74"/>
      <c r="AW615" s="74"/>
      <c r="AX615" s="74"/>
      <c r="AY615" s="74"/>
      <c r="AZ615" s="74"/>
    </row>
    <row r="616">
      <c r="A616" s="71"/>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c r="AJ616" s="74"/>
      <c r="AK616" s="74"/>
      <c r="AL616" s="74"/>
      <c r="AM616" s="74"/>
      <c r="AN616" s="74"/>
      <c r="AO616" s="74"/>
      <c r="AP616" s="74"/>
      <c r="AQ616" s="74"/>
      <c r="AR616" s="74"/>
      <c r="AS616" s="74"/>
      <c r="AT616" s="74"/>
      <c r="AU616" s="74"/>
      <c r="AV616" s="74"/>
      <c r="AW616" s="74"/>
      <c r="AX616" s="74"/>
      <c r="AY616" s="74"/>
      <c r="AZ616" s="74"/>
    </row>
    <row r="617">
      <c r="A617" s="71"/>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c r="AJ617" s="74"/>
      <c r="AK617" s="74"/>
      <c r="AL617" s="74"/>
      <c r="AM617" s="74"/>
      <c r="AN617" s="74"/>
      <c r="AO617" s="74"/>
      <c r="AP617" s="74"/>
      <c r="AQ617" s="74"/>
      <c r="AR617" s="74"/>
      <c r="AS617" s="74"/>
      <c r="AT617" s="74"/>
      <c r="AU617" s="74"/>
      <c r="AV617" s="74"/>
      <c r="AW617" s="74"/>
      <c r="AX617" s="74"/>
      <c r="AY617" s="74"/>
      <c r="AZ617" s="74"/>
    </row>
    <row r="618">
      <c r="A618" s="71"/>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c r="AJ618" s="74"/>
      <c r="AK618" s="74"/>
      <c r="AL618" s="74"/>
      <c r="AM618" s="74"/>
      <c r="AN618" s="74"/>
      <c r="AO618" s="74"/>
      <c r="AP618" s="74"/>
      <c r="AQ618" s="74"/>
      <c r="AR618" s="74"/>
      <c r="AS618" s="74"/>
      <c r="AT618" s="74"/>
      <c r="AU618" s="74"/>
      <c r="AV618" s="74"/>
      <c r="AW618" s="74"/>
      <c r="AX618" s="74"/>
      <c r="AY618" s="74"/>
      <c r="AZ618" s="74"/>
    </row>
    <row r="619">
      <c r="A619" s="71"/>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c r="AJ619" s="74"/>
      <c r="AK619" s="74"/>
      <c r="AL619" s="74"/>
      <c r="AM619" s="74"/>
      <c r="AN619" s="74"/>
      <c r="AO619" s="74"/>
      <c r="AP619" s="74"/>
      <c r="AQ619" s="74"/>
      <c r="AR619" s="74"/>
      <c r="AS619" s="74"/>
      <c r="AT619" s="74"/>
      <c r="AU619" s="74"/>
      <c r="AV619" s="74"/>
      <c r="AW619" s="74"/>
      <c r="AX619" s="74"/>
      <c r="AY619" s="74"/>
      <c r="AZ619" s="74"/>
    </row>
    <row r="620">
      <c r="A620" s="71"/>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c r="AJ620" s="74"/>
      <c r="AK620" s="74"/>
      <c r="AL620" s="74"/>
      <c r="AM620" s="74"/>
      <c r="AN620" s="74"/>
      <c r="AO620" s="74"/>
      <c r="AP620" s="74"/>
      <c r="AQ620" s="74"/>
      <c r="AR620" s="74"/>
      <c r="AS620" s="74"/>
      <c r="AT620" s="74"/>
      <c r="AU620" s="74"/>
      <c r="AV620" s="74"/>
      <c r="AW620" s="74"/>
      <c r="AX620" s="74"/>
      <c r="AY620" s="74"/>
      <c r="AZ620" s="74"/>
    </row>
    <row r="621">
      <c r="A621" s="71"/>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c r="AJ621" s="74"/>
      <c r="AK621" s="74"/>
      <c r="AL621" s="74"/>
      <c r="AM621" s="74"/>
      <c r="AN621" s="74"/>
      <c r="AO621" s="74"/>
      <c r="AP621" s="74"/>
      <c r="AQ621" s="74"/>
      <c r="AR621" s="74"/>
      <c r="AS621" s="74"/>
      <c r="AT621" s="74"/>
      <c r="AU621" s="74"/>
      <c r="AV621" s="74"/>
      <c r="AW621" s="74"/>
      <c r="AX621" s="74"/>
      <c r="AY621" s="74"/>
      <c r="AZ621" s="74"/>
    </row>
    <row r="622">
      <c r="A622" s="71"/>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c r="AJ622" s="74"/>
      <c r="AK622" s="74"/>
      <c r="AL622" s="74"/>
      <c r="AM622" s="74"/>
      <c r="AN622" s="74"/>
      <c r="AO622" s="74"/>
      <c r="AP622" s="74"/>
      <c r="AQ622" s="74"/>
      <c r="AR622" s="74"/>
      <c r="AS622" s="74"/>
      <c r="AT622" s="74"/>
      <c r="AU622" s="74"/>
      <c r="AV622" s="74"/>
      <c r="AW622" s="74"/>
      <c r="AX622" s="74"/>
      <c r="AY622" s="74"/>
      <c r="AZ622" s="74"/>
    </row>
    <row r="623">
      <c r="A623" s="71"/>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c r="AJ623" s="74"/>
      <c r="AK623" s="74"/>
      <c r="AL623" s="74"/>
      <c r="AM623" s="74"/>
      <c r="AN623" s="74"/>
      <c r="AO623" s="74"/>
      <c r="AP623" s="74"/>
      <c r="AQ623" s="74"/>
      <c r="AR623" s="74"/>
      <c r="AS623" s="74"/>
      <c r="AT623" s="74"/>
      <c r="AU623" s="74"/>
      <c r="AV623" s="74"/>
      <c r="AW623" s="74"/>
      <c r="AX623" s="74"/>
      <c r="AY623" s="74"/>
      <c r="AZ623" s="74"/>
    </row>
    <row r="624">
      <c r="A624" s="71"/>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c r="AJ624" s="74"/>
      <c r="AK624" s="74"/>
      <c r="AL624" s="74"/>
      <c r="AM624" s="74"/>
      <c r="AN624" s="74"/>
      <c r="AO624" s="74"/>
      <c r="AP624" s="74"/>
      <c r="AQ624" s="74"/>
      <c r="AR624" s="74"/>
      <c r="AS624" s="74"/>
      <c r="AT624" s="74"/>
      <c r="AU624" s="74"/>
      <c r="AV624" s="74"/>
      <c r="AW624" s="74"/>
      <c r="AX624" s="74"/>
      <c r="AY624" s="74"/>
      <c r="AZ624" s="74"/>
    </row>
    <row r="625">
      <c r="A625" s="71"/>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c r="AJ625" s="74"/>
      <c r="AK625" s="74"/>
      <c r="AL625" s="74"/>
      <c r="AM625" s="74"/>
      <c r="AN625" s="74"/>
      <c r="AO625" s="74"/>
      <c r="AP625" s="74"/>
      <c r="AQ625" s="74"/>
      <c r="AR625" s="74"/>
      <c r="AS625" s="74"/>
      <c r="AT625" s="74"/>
      <c r="AU625" s="74"/>
      <c r="AV625" s="74"/>
      <c r="AW625" s="74"/>
      <c r="AX625" s="74"/>
      <c r="AY625" s="74"/>
      <c r="AZ625" s="74"/>
    </row>
    <row r="626">
      <c r="A626" s="71"/>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c r="AJ626" s="74"/>
      <c r="AK626" s="74"/>
      <c r="AL626" s="74"/>
      <c r="AM626" s="74"/>
      <c r="AN626" s="74"/>
      <c r="AO626" s="74"/>
      <c r="AP626" s="74"/>
      <c r="AQ626" s="74"/>
      <c r="AR626" s="74"/>
      <c r="AS626" s="74"/>
      <c r="AT626" s="74"/>
      <c r="AU626" s="74"/>
      <c r="AV626" s="74"/>
      <c r="AW626" s="74"/>
      <c r="AX626" s="74"/>
      <c r="AY626" s="74"/>
      <c r="AZ626" s="74"/>
    </row>
    <row r="627">
      <c r="A627" s="71"/>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c r="AJ627" s="74"/>
      <c r="AK627" s="74"/>
      <c r="AL627" s="74"/>
      <c r="AM627" s="74"/>
      <c r="AN627" s="74"/>
      <c r="AO627" s="74"/>
      <c r="AP627" s="74"/>
      <c r="AQ627" s="74"/>
      <c r="AR627" s="74"/>
      <c r="AS627" s="74"/>
      <c r="AT627" s="74"/>
      <c r="AU627" s="74"/>
      <c r="AV627" s="74"/>
      <c r="AW627" s="74"/>
      <c r="AX627" s="74"/>
      <c r="AY627" s="74"/>
      <c r="AZ627" s="74"/>
    </row>
    <row r="628">
      <c r="A628" s="71"/>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c r="AJ628" s="74"/>
      <c r="AK628" s="74"/>
      <c r="AL628" s="74"/>
      <c r="AM628" s="74"/>
      <c r="AN628" s="74"/>
      <c r="AO628" s="74"/>
      <c r="AP628" s="74"/>
      <c r="AQ628" s="74"/>
      <c r="AR628" s="74"/>
      <c r="AS628" s="74"/>
      <c r="AT628" s="74"/>
      <c r="AU628" s="74"/>
      <c r="AV628" s="74"/>
      <c r="AW628" s="74"/>
      <c r="AX628" s="74"/>
      <c r="AY628" s="74"/>
      <c r="AZ628" s="74"/>
    </row>
    <row r="629">
      <c r="A629" s="71"/>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c r="AJ629" s="74"/>
      <c r="AK629" s="74"/>
      <c r="AL629" s="74"/>
      <c r="AM629" s="74"/>
      <c r="AN629" s="74"/>
      <c r="AO629" s="74"/>
      <c r="AP629" s="74"/>
      <c r="AQ629" s="74"/>
      <c r="AR629" s="74"/>
      <c r="AS629" s="74"/>
      <c r="AT629" s="74"/>
      <c r="AU629" s="74"/>
      <c r="AV629" s="74"/>
      <c r="AW629" s="74"/>
      <c r="AX629" s="74"/>
      <c r="AY629" s="74"/>
      <c r="AZ629" s="74"/>
    </row>
    <row r="630">
      <c r="A630" s="71"/>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c r="AJ630" s="74"/>
      <c r="AK630" s="74"/>
      <c r="AL630" s="74"/>
      <c r="AM630" s="74"/>
      <c r="AN630" s="74"/>
      <c r="AO630" s="74"/>
      <c r="AP630" s="74"/>
      <c r="AQ630" s="74"/>
      <c r="AR630" s="74"/>
      <c r="AS630" s="74"/>
      <c r="AT630" s="74"/>
      <c r="AU630" s="74"/>
      <c r="AV630" s="74"/>
      <c r="AW630" s="74"/>
      <c r="AX630" s="74"/>
      <c r="AY630" s="74"/>
      <c r="AZ630" s="74"/>
    </row>
    <row r="631">
      <c r="A631" s="71"/>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c r="AJ631" s="74"/>
      <c r="AK631" s="74"/>
      <c r="AL631" s="74"/>
      <c r="AM631" s="74"/>
      <c r="AN631" s="74"/>
      <c r="AO631" s="74"/>
      <c r="AP631" s="74"/>
      <c r="AQ631" s="74"/>
      <c r="AR631" s="74"/>
      <c r="AS631" s="74"/>
      <c r="AT631" s="74"/>
      <c r="AU631" s="74"/>
      <c r="AV631" s="74"/>
      <c r="AW631" s="74"/>
      <c r="AX631" s="74"/>
      <c r="AY631" s="74"/>
      <c r="AZ631" s="74"/>
    </row>
    <row r="632">
      <c r="A632" s="71"/>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c r="AJ632" s="74"/>
      <c r="AK632" s="74"/>
      <c r="AL632" s="74"/>
      <c r="AM632" s="74"/>
      <c r="AN632" s="74"/>
      <c r="AO632" s="74"/>
      <c r="AP632" s="74"/>
      <c r="AQ632" s="74"/>
      <c r="AR632" s="74"/>
      <c r="AS632" s="74"/>
      <c r="AT632" s="74"/>
      <c r="AU632" s="74"/>
      <c r="AV632" s="74"/>
      <c r="AW632" s="74"/>
      <c r="AX632" s="74"/>
      <c r="AY632" s="74"/>
      <c r="AZ632" s="74"/>
    </row>
    <row r="633">
      <c r="A633" s="71"/>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c r="AJ633" s="74"/>
      <c r="AK633" s="74"/>
      <c r="AL633" s="74"/>
      <c r="AM633" s="74"/>
      <c r="AN633" s="74"/>
      <c r="AO633" s="74"/>
      <c r="AP633" s="74"/>
      <c r="AQ633" s="74"/>
      <c r="AR633" s="74"/>
      <c r="AS633" s="74"/>
      <c r="AT633" s="74"/>
      <c r="AU633" s="74"/>
      <c r="AV633" s="74"/>
      <c r="AW633" s="74"/>
      <c r="AX633" s="74"/>
      <c r="AY633" s="74"/>
      <c r="AZ633" s="74"/>
    </row>
    <row r="634">
      <c r="A634" s="71"/>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c r="AJ634" s="74"/>
      <c r="AK634" s="74"/>
      <c r="AL634" s="74"/>
      <c r="AM634" s="74"/>
      <c r="AN634" s="74"/>
      <c r="AO634" s="74"/>
      <c r="AP634" s="74"/>
      <c r="AQ634" s="74"/>
      <c r="AR634" s="74"/>
      <c r="AS634" s="74"/>
      <c r="AT634" s="74"/>
      <c r="AU634" s="74"/>
      <c r="AV634" s="74"/>
      <c r="AW634" s="74"/>
      <c r="AX634" s="74"/>
      <c r="AY634" s="74"/>
      <c r="AZ634" s="74"/>
    </row>
    <row r="635">
      <c r="A635" s="71"/>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c r="AJ635" s="74"/>
      <c r="AK635" s="74"/>
      <c r="AL635" s="74"/>
      <c r="AM635" s="74"/>
      <c r="AN635" s="74"/>
      <c r="AO635" s="74"/>
      <c r="AP635" s="74"/>
      <c r="AQ635" s="74"/>
      <c r="AR635" s="74"/>
      <c r="AS635" s="74"/>
      <c r="AT635" s="74"/>
      <c r="AU635" s="74"/>
      <c r="AV635" s="74"/>
      <c r="AW635" s="74"/>
      <c r="AX635" s="74"/>
      <c r="AY635" s="74"/>
      <c r="AZ635" s="74"/>
    </row>
    <row r="636">
      <c r="A636" s="71"/>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c r="AJ636" s="74"/>
      <c r="AK636" s="74"/>
      <c r="AL636" s="74"/>
      <c r="AM636" s="74"/>
      <c r="AN636" s="74"/>
      <c r="AO636" s="74"/>
      <c r="AP636" s="74"/>
      <c r="AQ636" s="74"/>
      <c r="AR636" s="74"/>
      <c r="AS636" s="74"/>
      <c r="AT636" s="74"/>
      <c r="AU636" s="74"/>
      <c r="AV636" s="74"/>
      <c r="AW636" s="74"/>
      <c r="AX636" s="74"/>
      <c r="AY636" s="74"/>
      <c r="AZ636" s="74"/>
    </row>
    <row r="637">
      <c r="A637" s="71"/>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c r="AJ637" s="74"/>
      <c r="AK637" s="74"/>
      <c r="AL637" s="74"/>
      <c r="AM637" s="74"/>
      <c r="AN637" s="74"/>
      <c r="AO637" s="74"/>
      <c r="AP637" s="74"/>
      <c r="AQ637" s="74"/>
      <c r="AR637" s="74"/>
      <c r="AS637" s="74"/>
      <c r="AT637" s="74"/>
      <c r="AU637" s="74"/>
      <c r="AV637" s="74"/>
      <c r="AW637" s="74"/>
      <c r="AX637" s="74"/>
      <c r="AY637" s="74"/>
      <c r="AZ637" s="74"/>
    </row>
    <row r="638">
      <c r="A638" s="71"/>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c r="AJ638" s="74"/>
      <c r="AK638" s="74"/>
      <c r="AL638" s="74"/>
      <c r="AM638" s="74"/>
      <c r="AN638" s="74"/>
      <c r="AO638" s="74"/>
      <c r="AP638" s="74"/>
      <c r="AQ638" s="74"/>
      <c r="AR638" s="74"/>
      <c r="AS638" s="74"/>
      <c r="AT638" s="74"/>
      <c r="AU638" s="74"/>
      <c r="AV638" s="74"/>
      <c r="AW638" s="74"/>
      <c r="AX638" s="74"/>
      <c r="AY638" s="74"/>
      <c r="AZ638" s="74"/>
    </row>
    <row r="639">
      <c r="A639" s="71"/>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c r="AJ639" s="74"/>
      <c r="AK639" s="74"/>
      <c r="AL639" s="74"/>
      <c r="AM639" s="74"/>
      <c r="AN639" s="74"/>
      <c r="AO639" s="74"/>
      <c r="AP639" s="74"/>
      <c r="AQ639" s="74"/>
      <c r="AR639" s="74"/>
      <c r="AS639" s="74"/>
      <c r="AT639" s="74"/>
      <c r="AU639" s="74"/>
      <c r="AV639" s="74"/>
      <c r="AW639" s="74"/>
      <c r="AX639" s="74"/>
      <c r="AY639" s="74"/>
      <c r="AZ639" s="74"/>
    </row>
    <row r="640">
      <c r="A640" s="71"/>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c r="AJ640" s="74"/>
      <c r="AK640" s="74"/>
      <c r="AL640" s="74"/>
      <c r="AM640" s="74"/>
      <c r="AN640" s="74"/>
      <c r="AO640" s="74"/>
      <c r="AP640" s="74"/>
      <c r="AQ640" s="74"/>
      <c r="AR640" s="74"/>
      <c r="AS640" s="74"/>
      <c r="AT640" s="74"/>
      <c r="AU640" s="74"/>
      <c r="AV640" s="74"/>
      <c r="AW640" s="74"/>
      <c r="AX640" s="74"/>
      <c r="AY640" s="74"/>
      <c r="AZ640" s="74"/>
    </row>
    <row r="641">
      <c r="A641" s="71"/>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c r="AJ641" s="74"/>
      <c r="AK641" s="74"/>
      <c r="AL641" s="74"/>
      <c r="AM641" s="74"/>
      <c r="AN641" s="74"/>
      <c r="AO641" s="74"/>
      <c r="AP641" s="74"/>
      <c r="AQ641" s="74"/>
      <c r="AR641" s="74"/>
      <c r="AS641" s="74"/>
      <c r="AT641" s="74"/>
      <c r="AU641" s="74"/>
      <c r="AV641" s="74"/>
      <c r="AW641" s="74"/>
      <c r="AX641" s="74"/>
      <c r="AY641" s="74"/>
      <c r="AZ641" s="74"/>
    </row>
    <row r="642">
      <c r="A642" s="71"/>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c r="AJ642" s="74"/>
      <c r="AK642" s="74"/>
      <c r="AL642" s="74"/>
      <c r="AM642" s="74"/>
      <c r="AN642" s="74"/>
      <c r="AO642" s="74"/>
      <c r="AP642" s="74"/>
      <c r="AQ642" s="74"/>
      <c r="AR642" s="74"/>
      <c r="AS642" s="74"/>
      <c r="AT642" s="74"/>
      <c r="AU642" s="74"/>
      <c r="AV642" s="74"/>
      <c r="AW642" s="74"/>
      <c r="AX642" s="74"/>
      <c r="AY642" s="74"/>
      <c r="AZ642" s="74"/>
    </row>
    <row r="643">
      <c r="A643" s="71"/>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c r="AJ643" s="74"/>
      <c r="AK643" s="74"/>
      <c r="AL643" s="74"/>
      <c r="AM643" s="74"/>
      <c r="AN643" s="74"/>
      <c r="AO643" s="74"/>
      <c r="AP643" s="74"/>
      <c r="AQ643" s="74"/>
      <c r="AR643" s="74"/>
      <c r="AS643" s="74"/>
      <c r="AT643" s="74"/>
      <c r="AU643" s="74"/>
      <c r="AV643" s="74"/>
      <c r="AW643" s="74"/>
      <c r="AX643" s="74"/>
      <c r="AY643" s="74"/>
      <c r="AZ643" s="74"/>
    </row>
    <row r="644">
      <c r="A644" s="71"/>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c r="AJ644" s="74"/>
      <c r="AK644" s="74"/>
      <c r="AL644" s="74"/>
      <c r="AM644" s="74"/>
      <c r="AN644" s="74"/>
      <c r="AO644" s="74"/>
      <c r="AP644" s="74"/>
      <c r="AQ644" s="74"/>
      <c r="AR644" s="74"/>
      <c r="AS644" s="74"/>
      <c r="AT644" s="74"/>
      <c r="AU644" s="74"/>
      <c r="AV644" s="74"/>
      <c r="AW644" s="74"/>
      <c r="AX644" s="74"/>
      <c r="AY644" s="74"/>
      <c r="AZ644" s="74"/>
    </row>
    <row r="645">
      <c r="A645" s="71"/>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c r="AJ645" s="74"/>
      <c r="AK645" s="74"/>
      <c r="AL645" s="74"/>
      <c r="AM645" s="74"/>
      <c r="AN645" s="74"/>
      <c r="AO645" s="74"/>
      <c r="AP645" s="74"/>
      <c r="AQ645" s="74"/>
      <c r="AR645" s="74"/>
      <c r="AS645" s="74"/>
      <c r="AT645" s="74"/>
      <c r="AU645" s="74"/>
      <c r="AV645" s="74"/>
      <c r="AW645" s="74"/>
      <c r="AX645" s="74"/>
      <c r="AY645" s="74"/>
      <c r="AZ645" s="74"/>
    </row>
    <row r="646">
      <c r="A646" s="71"/>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c r="AJ646" s="74"/>
      <c r="AK646" s="74"/>
      <c r="AL646" s="74"/>
      <c r="AM646" s="74"/>
      <c r="AN646" s="74"/>
      <c r="AO646" s="74"/>
      <c r="AP646" s="74"/>
      <c r="AQ646" s="74"/>
      <c r="AR646" s="74"/>
      <c r="AS646" s="74"/>
      <c r="AT646" s="74"/>
      <c r="AU646" s="74"/>
      <c r="AV646" s="74"/>
      <c r="AW646" s="74"/>
      <c r="AX646" s="74"/>
      <c r="AY646" s="74"/>
      <c r="AZ646" s="74"/>
    </row>
    <row r="647">
      <c r="A647" s="71"/>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c r="AJ647" s="74"/>
      <c r="AK647" s="74"/>
      <c r="AL647" s="74"/>
      <c r="AM647" s="74"/>
      <c r="AN647" s="74"/>
      <c r="AO647" s="74"/>
      <c r="AP647" s="74"/>
      <c r="AQ647" s="74"/>
      <c r="AR647" s="74"/>
      <c r="AS647" s="74"/>
      <c r="AT647" s="74"/>
      <c r="AU647" s="74"/>
      <c r="AV647" s="74"/>
      <c r="AW647" s="74"/>
      <c r="AX647" s="74"/>
      <c r="AY647" s="74"/>
      <c r="AZ647" s="74"/>
    </row>
    <row r="648">
      <c r="A648" s="71"/>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c r="AJ648" s="74"/>
      <c r="AK648" s="74"/>
      <c r="AL648" s="74"/>
      <c r="AM648" s="74"/>
      <c r="AN648" s="74"/>
      <c r="AO648" s="74"/>
      <c r="AP648" s="74"/>
      <c r="AQ648" s="74"/>
      <c r="AR648" s="74"/>
      <c r="AS648" s="74"/>
      <c r="AT648" s="74"/>
      <c r="AU648" s="74"/>
      <c r="AV648" s="74"/>
      <c r="AW648" s="74"/>
      <c r="AX648" s="74"/>
      <c r="AY648" s="74"/>
      <c r="AZ648" s="74"/>
    </row>
    <row r="649">
      <c r="A649" s="71"/>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c r="AJ649" s="74"/>
      <c r="AK649" s="74"/>
      <c r="AL649" s="74"/>
      <c r="AM649" s="74"/>
      <c r="AN649" s="74"/>
      <c r="AO649" s="74"/>
      <c r="AP649" s="74"/>
      <c r="AQ649" s="74"/>
      <c r="AR649" s="74"/>
      <c r="AS649" s="74"/>
      <c r="AT649" s="74"/>
      <c r="AU649" s="74"/>
      <c r="AV649" s="74"/>
      <c r="AW649" s="74"/>
      <c r="AX649" s="74"/>
      <c r="AY649" s="74"/>
      <c r="AZ649" s="74"/>
    </row>
    <row r="650">
      <c r="A650" s="71"/>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c r="AJ650" s="74"/>
      <c r="AK650" s="74"/>
      <c r="AL650" s="74"/>
      <c r="AM650" s="74"/>
      <c r="AN650" s="74"/>
      <c r="AO650" s="74"/>
      <c r="AP650" s="74"/>
      <c r="AQ650" s="74"/>
      <c r="AR650" s="74"/>
      <c r="AS650" s="74"/>
      <c r="AT650" s="74"/>
      <c r="AU650" s="74"/>
      <c r="AV650" s="74"/>
      <c r="AW650" s="74"/>
      <c r="AX650" s="74"/>
      <c r="AY650" s="74"/>
      <c r="AZ650" s="74"/>
    </row>
    <row r="651">
      <c r="A651" s="71"/>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c r="AJ651" s="74"/>
      <c r="AK651" s="74"/>
      <c r="AL651" s="74"/>
      <c r="AM651" s="74"/>
      <c r="AN651" s="74"/>
      <c r="AO651" s="74"/>
      <c r="AP651" s="74"/>
      <c r="AQ651" s="74"/>
      <c r="AR651" s="74"/>
      <c r="AS651" s="74"/>
      <c r="AT651" s="74"/>
      <c r="AU651" s="74"/>
      <c r="AV651" s="74"/>
      <c r="AW651" s="74"/>
      <c r="AX651" s="74"/>
      <c r="AY651" s="74"/>
      <c r="AZ651" s="74"/>
    </row>
    <row r="652">
      <c r="A652" s="71"/>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c r="AJ652" s="74"/>
      <c r="AK652" s="74"/>
      <c r="AL652" s="74"/>
      <c r="AM652" s="74"/>
      <c r="AN652" s="74"/>
      <c r="AO652" s="74"/>
      <c r="AP652" s="74"/>
      <c r="AQ652" s="74"/>
      <c r="AR652" s="74"/>
      <c r="AS652" s="74"/>
      <c r="AT652" s="74"/>
      <c r="AU652" s="74"/>
      <c r="AV652" s="74"/>
      <c r="AW652" s="74"/>
      <c r="AX652" s="74"/>
      <c r="AY652" s="74"/>
      <c r="AZ652" s="74"/>
    </row>
    <row r="653">
      <c r="A653" s="71"/>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c r="AJ653" s="74"/>
      <c r="AK653" s="74"/>
      <c r="AL653" s="74"/>
      <c r="AM653" s="74"/>
      <c r="AN653" s="74"/>
      <c r="AO653" s="74"/>
      <c r="AP653" s="74"/>
      <c r="AQ653" s="74"/>
      <c r="AR653" s="74"/>
      <c r="AS653" s="74"/>
      <c r="AT653" s="74"/>
      <c r="AU653" s="74"/>
      <c r="AV653" s="74"/>
      <c r="AW653" s="74"/>
      <c r="AX653" s="74"/>
      <c r="AY653" s="74"/>
      <c r="AZ653" s="74"/>
    </row>
    <row r="654">
      <c r="A654" s="71"/>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row>
    <row r="655">
      <c r="A655" s="71"/>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c r="AJ655" s="74"/>
      <c r="AK655" s="74"/>
      <c r="AL655" s="74"/>
      <c r="AM655" s="74"/>
      <c r="AN655" s="74"/>
      <c r="AO655" s="74"/>
      <c r="AP655" s="74"/>
      <c r="AQ655" s="74"/>
      <c r="AR655" s="74"/>
      <c r="AS655" s="74"/>
      <c r="AT655" s="74"/>
      <c r="AU655" s="74"/>
      <c r="AV655" s="74"/>
      <c r="AW655" s="74"/>
      <c r="AX655" s="74"/>
      <c r="AY655" s="74"/>
      <c r="AZ655" s="74"/>
    </row>
    <row r="656">
      <c r="A656" s="71"/>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c r="AJ656" s="74"/>
      <c r="AK656" s="74"/>
      <c r="AL656" s="74"/>
      <c r="AM656" s="74"/>
      <c r="AN656" s="74"/>
      <c r="AO656" s="74"/>
      <c r="AP656" s="74"/>
      <c r="AQ656" s="74"/>
      <c r="AR656" s="74"/>
      <c r="AS656" s="74"/>
      <c r="AT656" s="74"/>
      <c r="AU656" s="74"/>
      <c r="AV656" s="74"/>
      <c r="AW656" s="74"/>
      <c r="AX656" s="74"/>
      <c r="AY656" s="74"/>
      <c r="AZ656" s="74"/>
    </row>
    <row r="657">
      <c r="A657" s="71"/>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c r="AJ657" s="74"/>
      <c r="AK657" s="74"/>
      <c r="AL657" s="74"/>
      <c r="AM657" s="74"/>
      <c r="AN657" s="74"/>
      <c r="AO657" s="74"/>
      <c r="AP657" s="74"/>
      <c r="AQ657" s="74"/>
      <c r="AR657" s="74"/>
      <c r="AS657" s="74"/>
      <c r="AT657" s="74"/>
      <c r="AU657" s="74"/>
      <c r="AV657" s="74"/>
      <c r="AW657" s="74"/>
      <c r="AX657" s="74"/>
      <c r="AY657" s="74"/>
      <c r="AZ657" s="74"/>
    </row>
    <row r="658">
      <c r="A658" s="71"/>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c r="AJ658" s="74"/>
      <c r="AK658" s="74"/>
      <c r="AL658" s="74"/>
      <c r="AM658" s="74"/>
      <c r="AN658" s="74"/>
      <c r="AO658" s="74"/>
      <c r="AP658" s="74"/>
      <c r="AQ658" s="74"/>
      <c r="AR658" s="74"/>
      <c r="AS658" s="74"/>
      <c r="AT658" s="74"/>
      <c r="AU658" s="74"/>
      <c r="AV658" s="74"/>
      <c r="AW658" s="74"/>
      <c r="AX658" s="74"/>
      <c r="AY658" s="74"/>
      <c r="AZ658" s="74"/>
    </row>
    <row r="659">
      <c r="A659" s="71"/>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c r="AJ659" s="74"/>
      <c r="AK659" s="74"/>
      <c r="AL659" s="74"/>
      <c r="AM659" s="74"/>
      <c r="AN659" s="74"/>
      <c r="AO659" s="74"/>
      <c r="AP659" s="74"/>
      <c r="AQ659" s="74"/>
      <c r="AR659" s="74"/>
      <c r="AS659" s="74"/>
      <c r="AT659" s="74"/>
      <c r="AU659" s="74"/>
      <c r="AV659" s="74"/>
      <c r="AW659" s="74"/>
      <c r="AX659" s="74"/>
      <c r="AY659" s="74"/>
      <c r="AZ659" s="74"/>
    </row>
    <row r="660">
      <c r="A660" s="71"/>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c r="AJ660" s="74"/>
      <c r="AK660" s="74"/>
      <c r="AL660" s="74"/>
      <c r="AM660" s="74"/>
      <c r="AN660" s="74"/>
      <c r="AO660" s="74"/>
      <c r="AP660" s="74"/>
      <c r="AQ660" s="74"/>
      <c r="AR660" s="74"/>
      <c r="AS660" s="74"/>
      <c r="AT660" s="74"/>
      <c r="AU660" s="74"/>
      <c r="AV660" s="74"/>
      <c r="AW660" s="74"/>
      <c r="AX660" s="74"/>
      <c r="AY660" s="74"/>
      <c r="AZ660" s="74"/>
    </row>
    <row r="661">
      <c r="A661" s="71"/>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c r="AJ661" s="74"/>
      <c r="AK661" s="74"/>
      <c r="AL661" s="74"/>
      <c r="AM661" s="74"/>
      <c r="AN661" s="74"/>
      <c r="AO661" s="74"/>
      <c r="AP661" s="74"/>
      <c r="AQ661" s="74"/>
      <c r="AR661" s="74"/>
      <c r="AS661" s="74"/>
      <c r="AT661" s="74"/>
      <c r="AU661" s="74"/>
      <c r="AV661" s="74"/>
      <c r="AW661" s="74"/>
      <c r="AX661" s="74"/>
      <c r="AY661" s="74"/>
      <c r="AZ661" s="74"/>
    </row>
    <row r="662">
      <c r="A662" s="71"/>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c r="AJ662" s="74"/>
      <c r="AK662" s="74"/>
      <c r="AL662" s="74"/>
      <c r="AM662" s="74"/>
      <c r="AN662" s="74"/>
      <c r="AO662" s="74"/>
      <c r="AP662" s="74"/>
      <c r="AQ662" s="74"/>
      <c r="AR662" s="74"/>
      <c r="AS662" s="74"/>
      <c r="AT662" s="74"/>
      <c r="AU662" s="74"/>
      <c r="AV662" s="74"/>
      <c r="AW662" s="74"/>
      <c r="AX662" s="74"/>
      <c r="AY662" s="74"/>
      <c r="AZ662" s="74"/>
    </row>
    <row r="663">
      <c r="A663" s="71"/>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c r="AJ663" s="74"/>
      <c r="AK663" s="74"/>
      <c r="AL663" s="74"/>
      <c r="AM663" s="74"/>
      <c r="AN663" s="74"/>
      <c r="AO663" s="74"/>
      <c r="AP663" s="74"/>
      <c r="AQ663" s="74"/>
      <c r="AR663" s="74"/>
      <c r="AS663" s="74"/>
      <c r="AT663" s="74"/>
      <c r="AU663" s="74"/>
      <c r="AV663" s="74"/>
      <c r="AW663" s="74"/>
      <c r="AX663" s="74"/>
      <c r="AY663" s="74"/>
      <c r="AZ663" s="74"/>
    </row>
    <row r="664">
      <c r="A664" s="71"/>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c r="AJ664" s="74"/>
      <c r="AK664" s="74"/>
      <c r="AL664" s="74"/>
      <c r="AM664" s="74"/>
      <c r="AN664" s="74"/>
      <c r="AO664" s="74"/>
      <c r="AP664" s="74"/>
      <c r="AQ664" s="74"/>
      <c r="AR664" s="74"/>
      <c r="AS664" s="74"/>
      <c r="AT664" s="74"/>
      <c r="AU664" s="74"/>
      <c r="AV664" s="74"/>
      <c r="AW664" s="74"/>
      <c r="AX664" s="74"/>
      <c r="AY664" s="74"/>
      <c r="AZ664" s="74"/>
    </row>
    <row r="665">
      <c r="A665" s="71"/>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c r="AJ665" s="74"/>
      <c r="AK665" s="74"/>
      <c r="AL665" s="74"/>
      <c r="AM665" s="74"/>
      <c r="AN665" s="74"/>
      <c r="AO665" s="74"/>
      <c r="AP665" s="74"/>
      <c r="AQ665" s="74"/>
      <c r="AR665" s="74"/>
      <c r="AS665" s="74"/>
      <c r="AT665" s="74"/>
      <c r="AU665" s="74"/>
      <c r="AV665" s="74"/>
      <c r="AW665" s="74"/>
      <c r="AX665" s="74"/>
      <c r="AY665" s="74"/>
      <c r="AZ665" s="74"/>
    </row>
    <row r="666">
      <c r="A666" s="71"/>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c r="AJ666" s="74"/>
      <c r="AK666" s="74"/>
      <c r="AL666" s="74"/>
      <c r="AM666" s="74"/>
      <c r="AN666" s="74"/>
      <c r="AO666" s="74"/>
      <c r="AP666" s="74"/>
      <c r="AQ666" s="74"/>
      <c r="AR666" s="74"/>
      <c r="AS666" s="74"/>
      <c r="AT666" s="74"/>
      <c r="AU666" s="74"/>
      <c r="AV666" s="74"/>
      <c r="AW666" s="74"/>
      <c r="AX666" s="74"/>
      <c r="AY666" s="74"/>
      <c r="AZ666" s="74"/>
    </row>
    <row r="667">
      <c r="A667" s="71"/>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c r="AJ667" s="74"/>
      <c r="AK667" s="74"/>
      <c r="AL667" s="74"/>
      <c r="AM667" s="74"/>
      <c r="AN667" s="74"/>
      <c r="AO667" s="74"/>
      <c r="AP667" s="74"/>
      <c r="AQ667" s="74"/>
      <c r="AR667" s="74"/>
      <c r="AS667" s="74"/>
      <c r="AT667" s="74"/>
      <c r="AU667" s="74"/>
      <c r="AV667" s="74"/>
      <c r="AW667" s="74"/>
      <c r="AX667" s="74"/>
      <c r="AY667" s="74"/>
      <c r="AZ667" s="74"/>
    </row>
    <row r="668">
      <c r="A668" s="71"/>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c r="AJ668" s="74"/>
      <c r="AK668" s="74"/>
      <c r="AL668" s="74"/>
      <c r="AM668" s="74"/>
      <c r="AN668" s="74"/>
      <c r="AO668" s="74"/>
      <c r="AP668" s="74"/>
      <c r="AQ668" s="74"/>
      <c r="AR668" s="74"/>
      <c r="AS668" s="74"/>
      <c r="AT668" s="74"/>
      <c r="AU668" s="74"/>
      <c r="AV668" s="74"/>
      <c r="AW668" s="74"/>
      <c r="AX668" s="74"/>
      <c r="AY668" s="74"/>
      <c r="AZ668" s="74"/>
    </row>
    <row r="669">
      <c r="A669" s="71"/>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c r="AJ669" s="74"/>
      <c r="AK669" s="74"/>
      <c r="AL669" s="74"/>
      <c r="AM669" s="74"/>
      <c r="AN669" s="74"/>
      <c r="AO669" s="74"/>
      <c r="AP669" s="74"/>
      <c r="AQ669" s="74"/>
      <c r="AR669" s="74"/>
      <c r="AS669" s="74"/>
      <c r="AT669" s="74"/>
      <c r="AU669" s="74"/>
      <c r="AV669" s="74"/>
      <c r="AW669" s="74"/>
      <c r="AX669" s="74"/>
      <c r="AY669" s="74"/>
      <c r="AZ669" s="74"/>
    </row>
    <row r="670">
      <c r="A670" s="71"/>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c r="AJ670" s="74"/>
      <c r="AK670" s="74"/>
      <c r="AL670" s="74"/>
      <c r="AM670" s="74"/>
      <c r="AN670" s="74"/>
      <c r="AO670" s="74"/>
      <c r="AP670" s="74"/>
      <c r="AQ670" s="74"/>
      <c r="AR670" s="74"/>
      <c r="AS670" s="74"/>
      <c r="AT670" s="74"/>
      <c r="AU670" s="74"/>
      <c r="AV670" s="74"/>
      <c r="AW670" s="74"/>
      <c r="AX670" s="74"/>
      <c r="AY670" s="74"/>
      <c r="AZ670" s="74"/>
    </row>
    <row r="671">
      <c r="A671" s="71"/>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c r="AJ671" s="74"/>
      <c r="AK671" s="74"/>
      <c r="AL671" s="74"/>
      <c r="AM671" s="74"/>
      <c r="AN671" s="74"/>
      <c r="AO671" s="74"/>
      <c r="AP671" s="74"/>
      <c r="AQ671" s="74"/>
      <c r="AR671" s="74"/>
      <c r="AS671" s="74"/>
      <c r="AT671" s="74"/>
      <c r="AU671" s="74"/>
      <c r="AV671" s="74"/>
      <c r="AW671" s="74"/>
      <c r="AX671" s="74"/>
      <c r="AY671" s="74"/>
      <c r="AZ671" s="74"/>
    </row>
    <row r="672">
      <c r="A672" s="71"/>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c r="AJ672" s="74"/>
      <c r="AK672" s="74"/>
      <c r="AL672" s="74"/>
      <c r="AM672" s="74"/>
      <c r="AN672" s="74"/>
      <c r="AO672" s="74"/>
      <c r="AP672" s="74"/>
      <c r="AQ672" s="74"/>
      <c r="AR672" s="74"/>
      <c r="AS672" s="74"/>
      <c r="AT672" s="74"/>
      <c r="AU672" s="74"/>
      <c r="AV672" s="74"/>
      <c r="AW672" s="74"/>
      <c r="AX672" s="74"/>
      <c r="AY672" s="74"/>
      <c r="AZ672" s="74"/>
    </row>
    <row r="673">
      <c r="A673" s="71"/>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c r="AJ673" s="74"/>
      <c r="AK673" s="74"/>
      <c r="AL673" s="74"/>
      <c r="AM673" s="74"/>
      <c r="AN673" s="74"/>
      <c r="AO673" s="74"/>
      <c r="AP673" s="74"/>
      <c r="AQ673" s="74"/>
      <c r="AR673" s="74"/>
      <c r="AS673" s="74"/>
      <c r="AT673" s="74"/>
      <c r="AU673" s="74"/>
      <c r="AV673" s="74"/>
      <c r="AW673" s="74"/>
      <c r="AX673" s="74"/>
      <c r="AY673" s="74"/>
      <c r="AZ673" s="74"/>
    </row>
    <row r="674">
      <c r="A674" s="71"/>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c r="AJ674" s="74"/>
      <c r="AK674" s="74"/>
      <c r="AL674" s="74"/>
      <c r="AM674" s="74"/>
      <c r="AN674" s="74"/>
      <c r="AO674" s="74"/>
      <c r="AP674" s="74"/>
      <c r="AQ674" s="74"/>
      <c r="AR674" s="74"/>
      <c r="AS674" s="74"/>
      <c r="AT674" s="74"/>
      <c r="AU674" s="74"/>
      <c r="AV674" s="74"/>
      <c r="AW674" s="74"/>
      <c r="AX674" s="74"/>
      <c r="AY674" s="74"/>
      <c r="AZ674" s="74"/>
    </row>
    <row r="675">
      <c r="A675" s="71"/>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c r="AM675" s="74"/>
      <c r="AN675" s="74"/>
      <c r="AO675" s="74"/>
      <c r="AP675" s="74"/>
      <c r="AQ675" s="74"/>
      <c r="AR675" s="74"/>
      <c r="AS675" s="74"/>
      <c r="AT675" s="74"/>
      <c r="AU675" s="74"/>
      <c r="AV675" s="74"/>
      <c r="AW675" s="74"/>
      <c r="AX675" s="74"/>
      <c r="AY675" s="74"/>
      <c r="AZ675" s="74"/>
    </row>
    <row r="676">
      <c r="A676" s="71"/>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c r="AJ676" s="74"/>
      <c r="AK676" s="74"/>
      <c r="AL676" s="74"/>
      <c r="AM676" s="74"/>
      <c r="AN676" s="74"/>
      <c r="AO676" s="74"/>
      <c r="AP676" s="74"/>
      <c r="AQ676" s="74"/>
      <c r="AR676" s="74"/>
      <c r="AS676" s="74"/>
      <c r="AT676" s="74"/>
      <c r="AU676" s="74"/>
      <c r="AV676" s="74"/>
      <c r="AW676" s="74"/>
      <c r="AX676" s="74"/>
      <c r="AY676" s="74"/>
      <c r="AZ676" s="74"/>
    </row>
    <row r="677">
      <c r="A677" s="71"/>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c r="AJ677" s="74"/>
      <c r="AK677" s="74"/>
      <c r="AL677" s="74"/>
      <c r="AM677" s="74"/>
      <c r="AN677" s="74"/>
      <c r="AO677" s="74"/>
      <c r="AP677" s="74"/>
      <c r="AQ677" s="74"/>
      <c r="AR677" s="74"/>
      <c r="AS677" s="74"/>
      <c r="AT677" s="74"/>
      <c r="AU677" s="74"/>
      <c r="AV677" s="74"/>
      <c r="AW677" s="74"/>
      <c r="AX677" s="74"/>
      <c r="AY677" s="74"/>
      <c r="AZ677" s="74"/>
    </row>
    <row r="678">
      <c r="A678" s="71"/>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c r="AJ678" s="74"/>
      <c r="AK678" s="74"/>
      <c r="AL678" s="74"/>
      <c r="AM678" s="74"/>
      <c r="AN678" s="74"/>
      <c r="AO678" s="74"/>
      <c r="AP678" s="74"/>
      <c r="AQ678" s="74"/>
      <c r="AR678" s="74"/>
      <c r="AS678" s="74"/>
      <c r="AT678" s="74"/>
      <c r="AU678" s="74"/>
      <c r="AV678" s="74"/>
      <c r="AW678" s="74"/>
      <c r="AX678" s="74"/>
      <c r="AY678" s="74"/>
      <c r="AZ678" s="74"/>
    </row>
    <row r="679">
      <c r="A679" s="71"/>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c r="AJ679" s="74"/>
      <c r="AK679" s="74"/>
      <c r="AL679" s="74"/>
      <c r="AM679" s="74"/>
      <c r="AN679" s="74"/>
      <c r="AO679" s="74"/>
      <c r="AP679" s="74"/>
      <c r="AQ679" s="74"/>
      <c r="AR679" s="74"/>
      <c r="AS679" s="74"/>
      <c r="AT679" s="74"/>
      <c r="AU679" s="74"/>
      <c r="AV679" s="74"/>
      <c r="AW679" s="74"/>
      <c r="AX679" s="74"/>
      <c r="AY679" s="74"/>
      <c r="AZ679" s="74"/>
    </row>
    <row r="680">
      <c r="A680" s="71"/>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c r="AJ680" s="74"/>
      <c r="AK680" s="74"/>
      <c r="AL680" s="74"/>
      <c r="AM680" s="74"/>
      <c r="AN680" s="74"/>
      <c r="AO680" s="74"/>
      <c r="AP680" s="74"/>
      <c r="AQ680" s="74"/>
      <c r="AR680" s="74"/>
      <c r="AS680" s="74"/>
      <c r="AT680" s="74"/>
      <c r="AU680" s="74"/>
      <c r="AV680" s="74"/>
      <c r="AW680" s="74"/>
      <c r="AX680" s="74"/>
      <c r="AY680" s="74"/>
      <c r="AZ680" s="74"/>
    </row>
    <row r="681">
      <c r="A681" s="71"/>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c r="AJ681" s="74"/>
      <c r="AK681" s="74"/>
      <c r="AL681" s="74"/>
      <c r="AM681" s="74"/>
      <c r="AN681" s="74"/>
      <c r="AO681" s="74"/>
      <c r="AP681" s="74"/>
      <c r="AQ681" s="74"/>
      <c r="AR681" s="74"/>
      <c r="AS681" s="74"/>
      <c r="AT681" s="74"/>
      <c r="AU681" s="74"/>
      <c r="AV681" s="74"/>
      <c r="AW681" s="74"/>
      <c r="AX681" s="74"/>
      <c r="AY681" s="74"/>
      <c r="AZ681" s="74"/>
    </row>
    <row r="682">
      <c r="A682" s="71"/>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c r="AJ682" s="74"/>
      <c r="AK682" s="74"/>
      <c r="AL682" s="74"/>
      <c r="AM682" s="74"/>
      <c r="AN682" s="74"/>
      <c r="AO682" s="74"/>
      <c r="AP682" s="74"/>
      <c r="AQ682" s="74"/>
      <c r="AR682" s="74"/>
      <c r="AS682" s="74"/>
      <c r="AT682" s="74"/>
      <c r="AU682" s="74"/>
      <c r="AV682" s="74"/>
      <c r="AW682" s="74"/>
      <c r="AX682" s="74"/>
      <c r="AY682" s="74"/>
      <c r="AZ682" s="74"/>
    </row>
    <row r="683">
      <c r="A683" s="71"/>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c r="AJ683" s="74"/>
      <c r="AK683" s="74"/>
      <c r="AL683" s="74"/>
      <c r="AM683" s="74"/>
      <c r="AN683" s="74"/>
      <c r="AO683" s="74"/>
      <c r="AP683" s="74"/>
      <c r="AQ683" s="74"/>
      <c r="AR683" s="74"/>
      <c r="AS683" s="74"/>
      <c r="AT683" s="74"/>
      <c r="AU683" s="74"/>
      <c r="AV683" s="74"/>
      <c r="AW683" s="74"/>
      <c r="AX683" s="74"/>
      <c r="AY683" s="74"/>
      <c r="AZ683" s="74"/>
    </row>
    <row r="684">
      <c r="A684" s="71"/>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c r="AJ684" s="74"/>
      <c r="AK684" s="74"/>
      <c r="AL684" s="74"/>
      <c r="AM684" s="74"/>
      <c r="AN684" s="74"/>
      <c r="AO684" s="74"/>
      <c r="AP684" s="74"/>
      <c r="AQ684" s="74"/>
      <c r="AR684" s="74"/>
      <c r="AS684" s="74"/>
      <c r="AT684" s="74"/>
      <c r="AU684" s="74"/>
      <c r="AV684" s="74"/>
      <c r="AW684" s="74"/>
      <c r="AX684" s="74"/>
      <c r="AY684" s="74"/>
      <c r="AZ684" s="74"/>
    </row>
    <row r="685">
      <c r="A685" s="71"/>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c r="AJ685" s="74"/>
      <c r="AK685" s="74"/>
      <c r="AL685" s="74"/>
      <c r="AM685" s="74"/>
      <c r="AN685" s="74"/>
      <c r="AO685" s="74"/>
      <c r="AP685" s="74"/>
      <c r="AQ685" s="74"/>
      <c r="AR685" s="74"/>
      <c r="AS685" s="74"/>
      <c r="AT685" s="74"/>
      <c r="AU685" s="74"/>
      <c r="AV685" s="74"/>
      <c r="AW685" s="74"/>
      <c r="AX685" s="74"/>
      <c r="AY685" s="74"/>
      <c r="AZ685" s="74"/>
    </row>
    <row r="686">
      <c r="A686" s="71"/>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c r="AM686" s="74"/>
      <c r="AN686" s="74"/>
      <c r="AO686" s="74"/>
      <c r="AP686" s="74"/>
      <c r="AQ686" s="74"/>
      <c r="AR686" s="74"/>
      <c r="AS686" s="74"/>
      <c r="AT686" s="74"/>
      <c r="AU686" s="74"/>
      <c r="AV686" s="74"/>
      <c r="AW686" s="74"/>
      <c r="AX686" s="74"/>
      <c r="AY686" s="74"/>
      <c r="AZ686" s="74"/>
    </row>
    <row r="687">
      <c r="A687" s="71"/>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c r="AJ687" s="74"/>
      <c r="AK687" s="74"/>
      <c r="AL687" s="74"/>
      <c r="AM687" s="74"/>
      <c r="AN687" s="74"/>
      <c r="AO687" s="74"/>
      <c r="AP687" s="74"/>
      <c r="AQ687" s="74"/>
      <c r="AR687" s="74"/>
      <c r="AS687" s="74"/>
      <c r="AT687" s="74"/>
      <c r="AU687" s="74"/>
      <c r="AV687" s="74"/>
      <c r="AW687" s="74"/>
      <c r="AX687" s="74"/>
      <c r="AY687" s="74"/>
      <c r="AZ687" s="74"/>
    </row>
    <row r="688">
      <c r="A688" s="71"/>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c r="AJ688" s="74"/>
      <c r="AK688" s="74"/>
      <c r="AL688" s="74"/>
      <c r="AM688" s="74"/>
      <c r="AN688" s="74"/>
      <c r="AO688" s="74"/>
      <c r="AP688" s="74"/>
      <c r="AQ688" s="74"/>
      <c r="AR688" s="74"/>
      <c r="AS688" s="74"/>
      <c r="AT688" s="74"/>
      <c r="AU688" s="74"/>
      <c r="AV688" s="74"/>
      <c r="AW688" s="74"/>
      <c r="AX688" s="74"/>
      <c r="AY688" s="74"/>
      <c r="AZ688" s="74"/>
    </row>
    <row r="689">
      <c r="A689" s="71"/>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c r="AM689" s="74"/>
      <c r="AN689" s="74"/>
      <c r="AO689" s="74"/>
      <c r="AP689" s="74"/>
      <c r="AQ689" s="74"/>
      <c r="AR689" s="74"/>
      <c r="AS689" s="74"/>
      <c r="AT689" s="74"/>
      <c r="AU689" s="74"/>
      <c r="AV689" s="74"/>
      <c r="AW689" s="74"/>
      <c r="AX689" s="74"/>
      <c r="AY689" s="74"/>
      <c r="AZ689" s="74"/>
    </row>
    <row r="690">
      <c r="A690" s="71"/>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c r="AJ690" s="74"/>
      <c r="AK690" s="74"/>
      <c r="AL690" s="74"/>
      <c r="AM690" s="74"/>
      <c r="AN690" s="74"/>
      <c r="AO690" s="74"/>
      <c r="AP690" s="74"/>
      <c r="AQ690" s="74"/>
      <c r="AR690" s="74"/>
      <c r="AS690" s="74"/>
      <c r="AT690" s="74"/>
      <c r="AU690" s="74"/>
      <c r="AV690" s="74"/>
      <c r="AW690" s="74"/>
      <c r="AX690" s="74"/>
      <c r="AY690" s="74"/>
      <c r="AZ690" s="74"/>
    </row>
    <row r="691">
      <c r="A691" s="71"/>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c r="AJ691" s="74"/>
      <c r="AK691" s="74"/>
      <c r="AL691" s="74"/>
      <c r="AM691" s="74"/>
      <c r="AN691" s="74"/>
      <c r="AO691" s="74"/>
      <c r="AP691" s="74"/>
      <c r="AQ691" s="74"/>
      <c r="AR691" s="74"/>
      <c r="AS691" s="74"/>
      <c r="AT691" s="74"/>
      <c r="AU691" s="74"/>
      <c r="AV691" s="74"/>
      <c r="AW691" s="74"/>
      <c r="AX691" s="74"/>
      <c r="AY691" s="74"/>
      <c r="AZ691" s="74"/>
    </row>
    <row r="692">
      <c r="A692" s="71"/>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c r="AJ692" s="74"/>
      <c r="AK692" s="74"/>
      <c r="AL692" s="74"/>
      <c r="AM692" s="74"/>
      <c r="AN692" s="74"/>
      <c r="AO692" s="74"/>
      <c r="AP692" s="74"/>
      <c r="AQ692" s="74"/>
      <c r="AR692" s="74"/>
      <c r="AS692" s="74"/>
      <c r="AT692" s="74"/>
      <c r="AU692" s="74"/>
      <c r="AV692" s="74"/>
      <c r="AW692" s="74"/>
      <c r="AX692" s="74"/>
      <c r="AY692" s="74"/>
      <c r="AZ692" s="74"/>
    </row>
    <row r="693">
      <c r="A693" s="71"/>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c r="AJ693" s="74"/>
      <c r="AK693" s="74"/>
      <c r="AL693" s="74"/>
      <c r="AM693" s="74"/>
      <c r="AN693" s="74"/>
      <c r="AO693" s="74"/>
      <c r="AP693" s="74"/>
      <c r="AQ693" s="74"/>
      <c r="AR693" s="74"/>
      <c r="AS693" s="74"/>
      <c r="AT693" s="74"/>
      <c r="AU693" s="74"/>
      <c r="AV693" s="74"/>
      <c r="AW693" s="74"/>
      <c r="AX693" s="74"/>
      <c r="AY693" s="74"/>
      <c r="AZ693" s="74"/>
    </row>
    <row r="694">
      <c r="A694" s="71"/>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c r="AJ694" s="74"/>
      <c r="AK694" s="74"/>
      <c r="AL694" s="74"/>
      <c r="AM694" s="74"/>
      <c r="AN694" s="74"/>
      <c r="AO694" s="74"/>
      <c r="AP694" s="74"/>
      <c r="AQ694" s="74"/>
      <c r="AR694" s="74"/>
      <c r="AS694" s="74"/>
      <c r="AT694" s="74"/>
      <c r="AU694" s="74"/>
      <c r="AV694" s="74"/>
      <c r="AW694" s="74"/>
      <c r="AX694" s="74"/>
      <c r="AY694" s="74"/>
      <c r="AZ694" s="74"/>
    </row>
    <row r="695">
      <c r="A695" s="71"/>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c r="AJ695" s="74"/>
      <c r="AK695" s="74"/>
      <c r="AL695" s="74"/>
      <c r="AM695" s="74"/>
      <c r="AN695" s="74"/>
      <c r="AO695" s="74"/>
      <c r="AP695" s="74"/>
      <c r="AQ695" s="74"/>
      <c r="AR695" s="74"/>
      <c r="AS695" s="74"/>
      <c r="AT695" s="74"/>
      <c r="AU695" s="74"/>
      <c r="AV695" s="74"/>
      <c r="AW695" s="74"/>
      <c r="AX695" s="74"/>
      <c r="AY695" s="74"/>
      <c r="AZ695" s="74"/>
    </row>
    <row r="696">
      <c r="A696" s="71"/>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c r="AJ696" s="74"/>
      <c r="AK696" s="74"/>
      <c r="AL696" s="74"/>
      <c r="AM696" s="74"/>
      <c r="AN696" s="74"/>
      <c r="AO696" s="74"/>
      <c r="AP696" s="74"/>
      <c r="AQ696" s="74"/>
      <c r="AR696" s="74"/>
      <c r="AS696" s="74"/>
      <c r="AT696" s="74"/>
      <c r="AU696" s="74"/>
      <c r="AV696" s="74"/>
      <c r="AW696" s="74"/>
      <c r="AX696" s="74"/>
      <c r="AY696" s="74"/>
      <c r="AZ696" s="74"/>
    </row>
    <row r="697">
      <c r="A697" s="71"/>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c r="AJ697" s="74"/>
      <c r="AK697" s="74"/>
      <c r="AL697" s="74"/>
      <c r="AM697" s="74"/>
      <c r="AN697" s="74"/>
      <c r="AO697" s="74"/>
      <c r="AP697" s="74"/>
      <c r="AQ697" s="74"/>
      <c r="AR697" s="74"/>
      <c r="AS697" s="74"/>
      <c r="AT697" s="74"/>
      <c r="AU697" s="74"/>
      <c r="AV697" s="74"/>
      <c r="AW697" s="74"/>
      <c r="AX697" s="74"/>
      <c r="AY697" s="74"/>
      <c r="AZ697" s="74"/>
    </row>
    <row r="698">
      <c r="A698" s="71"/>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c r="AJ698" s="74"/>
      <c r="AK698" s="74"/>
      <c r="AL698" s="74"/>
      <c r="AM698" s="74"/>
      <c r="AN698" s="74"/>
      <c r="AO698" s="74"/>
      <c r="AP698" s="74"/>
      <c r="AQ698" s="74"/>
      <c r="AR698" s="74"/>
      <c r="AS698" s="74"/>
      <c r="AT698" s="74"/>
      <c r="AU698" s="74"/>
      <c r="AV698" s="74"/>
      <c r="AW698" s="74"/>
      <c r="AX698" s="74"/>
      <c r="AY698" s="74"/>
      <c r="AZ698" s="74"/>
    </row>
    <row r="699">
      <c r="A699" s="71"/>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c r="AJ699" s="74"/>
      <c r="AK699" s="74"/>
      <c r="AL699" s="74"/>
      <c r="AM699" s="74"/>
      <c r="AN699" s="74"/>
      <c r="AO699" s="74"/>
      <c r="AP699" s="74"/>
      <c r="AQ699" s="74"/>
      <c r="AR699" s="74"/>
      <c r="AS699" s="74"/>
      <c r="AT699" s="74"/>
      <c r="AU699" s="74"/>
      <c r="AV699" s="74"/>
      <c r="AW699" s="74"/>
      <c r="AX699" s="74"/>
      <c r="AY699" s="74"/>
      <c r="AZ699" s="74"/>
    </row>
    <row r="700">
      <c r="A700" s="71"/>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c r="AJ700" s="74"/>
      <c r="AK700" s="74"/>
      <c r="AL700" s="74"/>
      <c r="AM700" s="74"/>
      <c r="AN700" s="74"/>
      <c r="AO700" s="74"/>
      <c r="AP700" s="74"/>
      <c r="AQ700" s="74"/>
      <c r="AR700" s="74"/>
      <c r="AS700" s="74"/>
      <c r="AT700" s="74"/>
      <c r="AU700" s="74"/>
      <c r="AV700" s="74"/>
      <c r="AW700" s="74"/>
      <c r="AX700" s="74"/>
      <c r="AY700" s="74"/>
      <c r="AZ700" s="74"/>
    </row>
    <row r="701">
      <c r="A701" s="71"/>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c r="AJ701" s="74"/>
      <c r="AK701" s="74"/>
      <c r="AL701" s="74"/>
      <c r="AM701" s="74"/>
      <c r="AN701" s="74"/>
      <c r="AO701" s="74"/>
      <c r="AP701" s="74"/>
      <c r="AQ701" s="74"/>
      <c r="AR701" s="74"/>
      <c r="AS701" s="74"/>
      <c r="AT701" s="74"/>
      <c r="AU701" s="74"/>
      <c r="AV701" s="74"/>
      <c r="AW701" s="74"/>
      <c r="AX701" s="74"/>
      <c r="AY701" s="74"/>
      <c r="AZ701" s="74"/>
    </row>
    <row r="702">
      <c r="A702" s="71"/>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c r="AJ702" s="74"/>
      <c r="AK702" s="74"/>
      <c r="AL702" s="74"/>
      <c r="AM702" s="74"/>
      <c r="AN702" s="74"/>
      <c r="AO702" s="74"/>
      <c r="AP702" s="74"/>
      <c r="AQ702" s="74"/>
      <c r="AR702" s="74"/>
      <c r="AS702" s="74"/>
      <c r="AT702" s="74"/>
      <c r="AU702" s="74"/>
      <c r="AV702" s="74"/>
      <c r="AW702" s="74"/>
      <c r="AX702" s="74"/>
      <c r="AY702" s="74"/>
      <c r="AZ702" s="74"/>
    </row>
    <row r="703">
      <c r="A703" s="71"/>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c r="AJ703" s="74"/>
      <c r="AK703" s="74"/>
      <c r="AL703" s="74"/>
      <c r="AM703" s="74"/>
      <c r="AN703" s="74"/>
      <c r="AO703" s="74"/>
      <c r="AP703" s="74"/>
      <c r="AQ703" s="74"/>
      <c r="AR703" s="74"/>
      <c r="AS703" s="74"/>
      <c r="AT703" s="74"/>
      <c r="AU703" s="74"/>
      <c r="AV703" s="74"/>
      <c r="AW703" s="74"/>
      <c r="AX703" s="74"/>
      <c r="AY703" s="74"/>
      <c r="AZ703" s="74"/>
    </row>
    <row r="704">
      <c r="A704" s="71"/>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c r="AJ704" s="74"/>
      <c r="AK704" s="74"/>
      <c r="AL704" s="74"/>
      <c r="AM704" s="74"/>
      <c r="AN704" s="74"/>
      <c r="AO704" s="74"/>
      <c r="AP704" s="74"/>
      <c r="AQ704" s="74"/>
      <c r="AR704" s="74"/>
      <c r="AS704" s="74"/>
      <c r="AT704" s="74"/>
      <c r="AU704" s="74"/>
      <c r="AV704" s="74"/>
      <c r="AW704" s="74"/>
      <c r="AX704" s="74"/>
      <c r="AY704" s="74"/>
      <c r="AZ704" s="74"/>
    </row>
    <row r="705">
      <c r="A705" s="71"/>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c r="AJ705" s="74"/>
      <c r="AK705" s="74"/>
      <c r="AL705" s="74"/>
      <c r="AM705" s="74"/>
      <c r="AN705" s="74"/>
      <c r="AO705" s="74"/>
      <c r="AP705" s="74"/>
      <c r="AQ705" s="74"/>
      <c r="AR705" s="74"/>
      <c r="AS705" s="74"/>
      <c r="AT705" s="74"/>
      <c r="AU705" s="74"/>
      <c r="AV705" s="74"/>
      <c r="AW705" s="74"/>
      <c r="AX705" s="74"/>
      <c r="AY705" s="74"/>
      <c r="AZ705" s="74"/>
    </row>
    <row r="706">
      <c r="A706" s="71"/>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c r="AJ706" s="74"/>
      <c r="AK706" s="74"/>
      <c r="AL706" s="74"/>
      <c r="AM706" s="74"/>
      <c r="AN706" s="74"/>
      <c r="AO706" s="74"/>
      <c r="AP706" s="74"/>
      <c r="AQ706" s="74"/>
      <c r="AR706" s="74"/>
      <c r="AS706" s="74"/>
      <c r="AT706" s="74"/>
      <c r="AU706" s="74"/>
      <c r="AV706" s="74"/>
      <c r="AW706" s="74"/>
      <c r="AX706" s="74"/>
      <c r="AY706" s="74"/>
      <c r="AZ706" s="74"/>
    </row>
    <row r="707">
      <c r="A707" s="71"/>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c r="AJ707" s="74"/>
      <c r="AK707" s="74"/>
      <c r="AL707" s="74"/>
      <c r="AM707" s="74"/>
      <c r="AN707" s="74"/>
      <c r="AO707" s="74"/>
      <c r="AP707" s="74"/>
      <c r="AQ707" s="74"/>
      <c r="AR707" s="74"/>
      <c r="AS707" s="74"/>
      <c r="AT707" s="74"/>
      <c r="AU707" s="74"/>
      <c r="AV707" s="74"/>
      <c r="AW707" s="74"/>
      <c r="AX707" s="74"/>
      <c r="AY707" s="74"/>
      <c r="AZ707" s="74"/>
    </row>
    <row r="708">
      <c r="A708" s="71"/>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c r="AJ708" s="74"/>
      <c r="AK708" s="74"/>
      <c r="AL708" s="74"/>
      <c r="AM708" s="74"/>
      <c r="AN708" s="74"/>
      <c r="AO708" s="74"/>
      <c r="AP708" s="74"/>
      <c r="AQ708" s="74"/>
      <c r="AR708" s="74"/>
      <c r="AS708" s="74"/>
      <c r="AT708" s="74"/>
      <c r="AU708" s="74"/>
      <c r="AV708" s="74"/>
      <c r="AW708" s="74"/>
      <c r="AX708" s="74"/>
      <c r="AY708" s="74"/>
      <c r="AZ708" s="74"/>
    </row>
    <row r="709">
      <c r="A709" s="71"/>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c r="AJ709" s="74"/>
      <c r="AK709" s="74"/>
      <c r="AL709" s="74"/>
      <c r="AM709" s="74"/>
      <c r="AN709" s="74"/>
      <c r="AO709" s="74"/>
      <c r="AP709" s="74"/>
      <c r="AQ709" s="74"/>
      <c r="AR709" s="74"/>
      <c r="AS709" s="74"/>
      <c r="AT709" s="74"/>
      <c r="AU709" s="74"/>
      <c r="AV709" s="74"/>
      <c r="AW709" s="74"/>
      <c r="AX709" s="74"/>
      <c r="AY709" s="74"/>
      <c r="AZ709" s="74"/>
    </row>
    <row r="710">
      <c r="A710" s="71"/>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c r="AJ710" s="74"/>
      <c r="AK710" s="74"/>
      <c r="AL710" s="74"/>
      <c r="AM710" s="74"/>
      <c r="AN710" s="74"/>
      <c r="AO710" s="74"/>
      <c r="AP710" s="74"/>
      <c r="AQ710" s="74"/>
      <c r="AR710" s="74"/>
      <c r="AS710" s="74"/>
      <c r="AT710" s="74"/>
      <c r="AU710" s="74"/>
      <c r="AV710" s="74"/>
      <c r="AW710" s="74"/>
      <c r="AX710" s="74"/>
      <c r="AY710" s="74"/>
      <c r="AZ710" s="74"/>
    </row>
    <row r="711">
      <c r="A711" s="71"/>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c r="AJ711" s="74"/>
      <c r="AK711" s="74"/>
      <c r="AL711" s="74"/>
      <c r="AM711" s="74"/>
      <c r="AN711" s="74"/>
      <c r="AO711" s="74"/>
      <c r="AP711" s="74"/>
      <c r="AQ711" s="74"/>
      <c r="AR711" s="74"/>
      <c r="AS711" s="74"/>
      <c r="AT711" s="74"/>
      <c r="AU711" s="74"/>
      <c r="AV711" s="74"/>
      <c r="AW711" s="74"/>
      <c r="AX711" s="74"/>
      <c r="AY711" s="74"/>
      <c r="AZ711" s="74"/>
    </row>
    <row r="712">
      <c r="A712" s="71"/>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c r="AJ712" s="74"/>
      <c r="AK712" s="74"/>
      <c r="AL712" s="74"/>
      <c r="AM712" s="74"/>
      <c r="AN712" s="74"/>
      <c r="AO712" s="74"/>
      <c r="AP712" s="74"/>
      <c r="AQ712" s="74"/>
      <c r="AR712" s="74"/>
      <c r="AS712" s="74"/>
      <c r="AT712" s="74"/>
      <c r="AU712" s="74"/>
      <c r="AV712" s="74"/>
      <c r="AW712" s="74"/>
      <c r="AX712" s="74"/>
      <c r="AY712" s="74"/>
      <c r="AZ712" s="74"/>
    </row>
    <row r="713">
      <c r="A713" s="71"/>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c r="AJ713" s="74"/>
      <c r="AK713" s="74"/>
      <c r="AL713" s="74"/>
      <c r="AM713" s="74"/>
      <c r="AN713" s="74"/>
      <c r="AO713" s="74"/>
      <c r="AP713" s="74"/>
      <c r="AQ713" s="74"/>
      <c r="AR713" s="74"/>
      <c r="AS713" s="74"/>
      <c r="AT713" s="74"/>
      <c r="AU713" s="74"/>
      <c r="AV713" s="74"/>
      <c r="AW713" s="74"/>
      <c r="AX713" s="74"/>
      <c r="AY713" s="74"/>
      <c r="AZ713" s="74"/>
    </row>
    <row r="714">
      <c r="A714" s="71"/>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c r="AJ714" s="74"/>
      <c r="AK714" s="74"/>
      <c r="AL714" s="74"/>
      <c r="AM714" s="74"/>
      <c r="AN714" s="74"/>
      <c r="AO714" s="74"/>
      <c r="AP714" s="74"/>
      <c r="AQ714" s="74"/>
      <c r="AR714" s="74"/>
      <c r="AS714" s="74"/>
      <c r="AT714" s="74"/>
      <c r="AU714" s="74"/>
      <c r="AV714" s="74"/>
      <c r="AW714" s="74"/>
      <c r="AX714" s="74"/>
      <c r="AY714" s="74"/>
      <c r="AZ714" s="74"/>
    </row>
    <row r="715">
      <c r="A715" s="71"/>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c r="AJ715" s="74"/>
      <c r="AK715" s="74"/>
      <c r="AL715" s="74"/>
      <c r="AM715" s="74"/>
      <c r="AN715" s="74"/>
      <c r="AO715" s="74"/>
      <c r="AP715" s="74"/>
      <c r="AQ715" s="74"/>
      <c r="AR715" s="74"/>
      <c r="AS715" s="74"/>
      <c r="AT715" s="74"/>
      <c r="AU715" s="74"/>
      <c r="AV715" s="74"/>
      <c r="AW715" s="74"/>
      <c r="AX715" s="74"/>
      <c r="AY715" s="74"/>
      <c r="AZ715" s="74"/>
    </row>
    <row r="716">
      <c r="A716" s="71"/>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c r="AJ716" s="74"/>
      <c r="AK716" s="74"/>
      <c r="AL716" s="74"/>
      <c r="AM716" s="74"/>
      <c r="AN716" s="74"/>
      <c r="AO716" s="74"/>
      <c r="AP716" s="74"/>
      <c r="AQ716" s="74"/>
      <c r="AR716" s="74"/>
      <c r="AS716" s="74"/>
      <c r="AT716" s="74"/>
      <c r="AU716" s="74"/>
      <c r="AV716" s="74"/>
      <c r="AW716" s="74"/>
      <c r="AX716" s="74"/>
      <c r="AY716" s="74"/>
      <c r="AZ716" s="74"/>
    </row>
    <row r="717">
      <c r="A717" s="71"/>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c r="AJ717" s="74"/>
      <c r="AK717" s="74"/>
      <c r="AL717" s="74"/>
      <c r="AM717" s="74"/>
      <c r="AN717" s="74"/>
      <c r="AO717" s="74"/>
      <c r="AP717" s="74"/>
      <c r="AQ717" s="74"/>
      <c r="AR717" s="74"/>
      <c r="AS717" s="74"/>
      <c r="AT717" s="74"/>
      <c r="AU717" s="74"/>
      <c r="AV717" s="74"/>
      <c r="AW717" s="74"/>
      <c r="AX717" s="74"/>
      <c r="AY717" s="74"/>
      <c r="AZ717" s="74"/>
    </row>
    <row r="718">
      <c r="A718" s="71"/>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c r="AJ718" s="74"/>
      <c r="AK718" s="74"/>
      <c r="AL718" s="74"/>
      <c r="AM718" s="74"/>
      <c r="AN718" s="74"/>
      <c r="AO718" s="74"/>
      <c r="AP718" s="74"/>
      <c r="AQ718" s="74"/>
      <c r="AR718" s="74"/>
      <c r="AS718" s="74"/>
      <c r="AT718" s="74"/>
      <c r="AU718" s="74"/>
      <c r="AV718" s="74"/>
      <c r="AW718" s="74"/>
      <c r="AX718" s="74"/>
      <c r="AY718" s="74"/>
      <c r="AZ718" s="74"/>
    </row>
    <row r="719">
      <c r="A719" s="71"/>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c r="AJ719" s="74"/>
      <c r="AK719" s="74"/>
      <c r="AL719" s="74"/>
      <c r="AM719" s="74"/>
      <c r="AN719" s="74"/>
      <c r="AO719" s="74"/>
      <c r="AP719" s="74"/>
      <c r="AQ719" s="74"/>
      <c r="AR719" s="74"/>
      <c r="AS719" s="74"/>
      <c r="AT719" s="74"/>
      <c r="AU719" s="74"/>
      <c r="AV719" s="74"/>
      <c r="AW719" s="74"/>
      <c r="AX719" s="74"/>
      <c r="AY719" s="74"/>
      <c r="AZ719" s="74"/>
    </row>
    <row r="720">
      <c r="A720" s="71"/>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c r="AJ720" s="74"/>
      <c r="AK720" s="74"/>
      <c r="AL720" s="74"/>
      <c r="AM720" s="74"/>
      <c r="AN720" s="74"/>
      <c r="AO720" s="74"/>
      <c r="AP720" s="74"/>
      <c r="AQ720" s="74"/>
      <c r="AR720" s="74"/>
      <c r="AS720" s="74"/>
      <c r="AT720" s="74"/>
      <c r="AU720" s="74"/>
      <c r="AV720" s="74"/>
      <c r="AW720" s="74"/>
      <c r="AX720" s="74"/>
      <c r="AY720" s="74"/>
      <c r="AZ720" s="74"/>
    </row>
    <row r="721">
      <c r="A721" s="71"/>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c r="AJ721" s="74"/>
      <c r="AK721" s="74"/>
      <c r="AL721" s="74"/>
      <c r="AM721" s="74"/>
      <c r="AN721" s="74"/>
      <c r="AO721" s="74"/>
      <c r="AP721" s="74"/>
      <c r="AQ721" s="74"/>
      <c r="AR721" s="74"/>
      <c r="AS721" s="74"/>
      <c r="AT721" s="74"/>
      <c r="AU721" s="74"/>
      <c r="AV721" s="74"/>
      <c r="AW721" s="74"/>
      <c r="AX721" s="74"/>
      <c r="AY721" s="74"/>
      <c r="AZ721" s="74"/>
    </row>
    <row r="722">
      <c r="A722" s="71"/>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c r="AJ722" s="74"/>
      <c r="AK722" s="74"/>
      <c r="AL722" s="74"/>
      <c r="AM722" s="74"/>
      <c r="AN722" s="74"/>
      <c r="AO722" s="74"/>
      <c r="AP722" s="74"/>
      <c r="AQ722" s="74"/>
      <c r="AR722" s="74"/>
      <c r="AS722" s="74"/>
      <c r="AT722" s="74"/>
      <c r="AU722" s="74"/>
      <c r="AV722" s="74"/>
      <c r="AW722" s="74"/>
      <c r="AX722" s="74"/>
      <c r="AY722" s="74"/>
      <c r="AZ722" s="74"/>
    </row>
    <row r="723">
      <c r="A723" s="71"/>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c r="AJ723" s="74"/>
      <c r="AK723" s="74"/>
      <c r="AL723" s="74"/>
      <c r="AM723" s="74"/>
      <c r="AN723" s="74"/>
      <c r="AO723" s="74"/>
      <c r="AP723" s="74"/>
      <c r="AQ723" s="74"/>
      <c r="AR723" s="74"/>
      <c r="AS723" s="74"/>
      <c r="AT723" s="74"/>
      <c r="AU723" s="74"/>
      <c r="AV723" s="74"/>
      <c r="AW723" s="74"/>
      <c r="AX723" s="74"/>
      <c r="AY723" s="74"/>
      <c r="AZ723" s="74"/>
    </row>
    <row r="724">
      <c r="A724" s="71"/>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c r="AJ724" s="74"/>
      <c r="AK724" s="74"/>
      <c r="AL724" s="74"/>
      <c r="AM724" s="74"/>
      <c r="AN724" s="74"/>
      <c r="AO724" s="74"/>
      <c r="AP724" s="74"/>
      <c r="AQ724" s="74"/>
      <c r="AR724" s="74"/>
      <c r="AS724" s="74"/>
      <c r="AT724" s="74"/>
      <c r="AU724" s="74"/>
      <c r="AV724" s="74"/>
      <c r="AW724" s="74"/>
      <c r="AX724" s="74"/>
      <c r="AY724" s="74"/>
      <c r="AZ724" s="74"/>
    </row>
    <row r="725">
      <c r="A725" s="71"/>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c r="AM725" s="74"/>
      <c r="AN725" s="74"/>
      <c r="AO725" s="74"/>
      <c r="AP725" s="74"/>
      <c r="AQ725" s="74"/>
      <c r="AR725" s="74"/>
      <c r="AS725" s="74"/>
      <c r="AT725" s="74"/>
      <c r="AU725" s="74"/>
      <c r="AV725" s="74"/>
      <c r="AW725" s="74"/>
      <c r="AX725" s="74"/>
      <c r="AY725" s="74"/>
      <c r="AZ725" s="74"/>
    </row>
    <row r="726">
      <c r="A726" s="71"/>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c r="AJ726" s="74"/>
      <c r="AK726" s="74"/>
      <c r="AL726" s="74"/>
      <c r="AM726" s="74"/>
      <c r="AN726" s="74"/>
      <c r="AO726" s="74"/>
      <c r="AP726" s="74"/>
      <c r="AQ726" s="74"/>
      <c r="AR726" s="74"/>
      <c r="AS726" s="74"/>
      <c r="AT726" s="74"/>
      <c r="AU726" s="74"/>
      <c r="AV726" s="74"/>
      <c r="AW726" s="74"/>
      <c r="AX726" s="74"/>
      <c r="AY726" s="74"/>
      <c r="AZ726" s="74"/>
    </row>
    <row r="727">
      <c r="A727" s="71"/>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c r="AJ727" s="74"/>
      <c r="AK727" s="74"/>
      <c r="AL727" s="74"/>
      <c r="AM727" s="74"/>
      <c r="AN727" s="74"/>
      <c r="AO727" s="74"/>
      <c r="AP727" s="74"/>
      <c r="AQ727" s="74"/>
      <c r="AR727" s="74"/>
      <c r="AS727" s="74"/>
      <c r="AT727" s="74"/>
      <c r="AU727" s="74"/>
      <c r="AV727" s="74"/>
      <c r="AW727" s="74"/>
      <c r="AX727" s="74"/>
      <c r="AY727" s="74"/>
      <c r="AZ727" s="74"/>
    </row>
    <row r="728">
      <c r="A728" s="71"/>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c r="AJ728" s="74"/>
      <c r="AK728" s="74"/>
      <c r="AL728" s="74"/>
      <c r="AM728" s="74"/>
      <c r="AN728" s="74"/>
      <c r="AO728" s="74"/>
      <c r="AP728" s="74"/>
      <c r="AQ728" s="74"/>
      <c r="AR728" s="74"/>
      <c r="AS728" s="74"/>
      <c r="AT728" s="74"/>
      <c r="AU728" s="74"/>
      <c r="AV728" s="74"/>
      <c r="AW728" s="74"/>
      <c r="AX728" s="74"/>
      <c r="AY728" s="74"/>
      <c r="AZ728" s="74"/>
    </row>
    <row r="729">
      <c r="A729" s="71"/>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c r="AJ729" s="74"/>
      <c r="AK729" s="74"/>
      <c r="AL729" s="74"/>
      <c r="AM729" s="74"/>
      <c r="AN729" s="74"/>
      <c r="AO729" s="74"/>
      <c r="AP729" s="74"/>
      <c r="AQ729" s="74"/>
      <c r="AR729" s="74"/>
      <c r="AS729" s="74"/>
      <c r="AT729" s="74"/>
      <c r="AU729" s="74"/>
      <c r="AV729" s="74"/>
      <c r="AW729" s="74"/>
      <c r="AX729" s="74"/>
      <c r="AY729" s="74"/>
      <c r="AZ729" s="74"/>
    </row>
    <row r="730">
      <c r="A730" s="71"/>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c r="AJ730" s="74"/>
      <c r="AK730" s="74"/>
      <c r="AL730" s="74"/>
      <c r="AM730" s="74"/>
      <c r="AN730" s="74"/>
      <c r="AO730" s="74"/>
      <c r="AP730" s="74"/>
      <c r="AQ730" s="74"/>
      <c r="AR730" s="74"/>
      <c r="AS730" s="74"/>
      <c r="AT730" s="74"/>
      <c r="AU730" s="74"/>
      <c r="AV730" s="74"/>
      <c r="AW730" s="74"/>
      <c r="AX730" s="74"/>
      <c r="AY730" s="74"/>
      <c r="AZ730" s="74"/>
    </row>
    <row r="731">
      <c r="A731" s="71"/>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c r="AJ731" s="74"/>
      <c r="AK731" s="74"/>
      <c r="AL731" s="74"/>
      <c r="AM731" s="74"/>
      <c r="AN731" s="74"/>
      <c r="AO731" s="74"/>
      <c r="AP731" s="74"/>
      <c r="AQ731" s="74"/>
      <c r="AR731" s="74"/>
      <c r="AS731" s="74"/>
      <c r="AT731" s="74"/>
      <c r="AU731" s="74"/>
      <c r="AV731" s="74"/>
      <c r="AW731" s="74"/>
      <c r="AX731" s="74"/>
      <c r="AY731" s="74"/>
      <c r="AZ731" s="74"/>
    </row>
    <row r="732">
      <c r="A732" s="71"/>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c r="AJ732" s="74"/>
      <c r="AK732" s="74"/>
      <c r="AL732" s="74"/>
      <c r="AM732" s="74"/>
      <c r="AN732" s="74"/>
      <c r="AO732" s="74"/>
      <c r="AP732" s="74"/>
      <c r="AQ732" s="74"/>
      <c r="AR732" s="74"/>
      <c r="AS732" s="74"/>
      <c r="AT732" s="74"/>
      <c r="AU732" s="74"/>
      <c r="AV732" s="74"/>
      <c r="AW732" s="74"/>
      <c r="AX732" s="74"/>
      <c r="AY732" s="74"/>
      <c r="AZ732" s="74"/>
    </row>
    <row r="733">
      <c r="A733" s="71"/>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c r="AJ733" s="74"/>
      <c r="AK733" s="74"/>
      <c r="AL733" s="74"/>
      <c r="AM733" s="74"/>
      <c r="AN733" s="74"/>
      <c r="AO733" s="74"/>
      <c r="AP733" s="74"/>
      <c r="AQ733" s="74"/>
      <c r="AR733" s="74"/>
      <c r="AS733" s="74"/>
      <c r="AT733" s="74"/>
      <c r="AU733" s="74"/>
      <c r="AV733" s="74"/>
      <c r="AW733" s="74"/>
      <c r="AX733" s="74"/>
      <c r="AY733" s="74"/>
      <c r="AZ733" s="74"/>
    </row>
    <row r="734">
      <c r="A734" s="71"/>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c r="AJ734" s="74"/>
      <c r="AK734" s="74"/>
      <c r="AL734" s="74"/>
      <c r="AM734" s="74"/>
      <c r="AN734" s="74"/>
      <c r="AO734" s="74"/>
      <c r="AP734" s="74"/>
      <c r="AQ734" s="74"/>
      <c r="AR734" s="74"/>
      <c r="AS734" s="74"/>
      <c r="AT734" s="74"/>
      <c r="AU734" s="74"/>
      <c r="AV734" s="74"/>
      <c r="AW734" s="74"/>
      <c r="AX734" s="74"/>
      <c r="AY734" s="74"/>
      <c r="AZ734" s="74"/>
    </row>
    <row r="735">
      <c r="A735" s="71"/>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c r="AJ735" s="74"/>
      <c r="AK735" s="74"/>
      <c r="AL735" s="74"/>
      <c r="AM735" s="74"/>
      <c r="AN735" s="74"/>
      <c r="AO735" s="74"/>
      <c r="AP735" s="74"/>
      <c r="AQ735" s="74"/>
      <c r="AR735" s="74"/>
      <c r="AS735" s="74"/>
      <c r="AT735" s="74"/>
      <c r="AU735" s="74"/>
      <c r="AV735" s="74"/>
      <c r="AW735" s="74"/>
      <c r="AX735" s="74"/>
      <c r="AY735" s="74"/>
      <c r="AZ735" s="74"/>
    </row>
    <row r="736">
      <c r="A736" s="71"/>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c r="AJ736" s="74"/>
      <c r="AK736" s="74"/>
      <c r="AL736" s="74"/>
      <c r="AM736" s="74"/>
      <c r="AN736" s="74"/>
      <c r="AO736" s="74"/>
      <c r="AP736" s="74"/>
      <c r="AQ736" s="74"/>
      <c r="AR736" s="74"/>
      <c r="AS736" s="74"/>
      <c r="AT736" s="74"/>
      <c r="AU736" s="74"/>
      <c r="AV736" s="74"/>
      <c r="AW736" s="74"/>
      <c r="AX736" s="74"/>
      <c r="AY736" s="74"/>
      <c r="AZ736" s="74"/>
    </row>
    <row r="737">
      <c r="A737" s="71"/>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c r="AM737" s="74"/>
      <c r="AN737" s="74"/>
      <c r="AO737" s="74"/>
      <c r="AP737" s="74"/>
      <c r="AQ737" s="74"/>
      <c r="AR737" s="74"/>
      <c r="AS737" s="74"/>
      <c r="AT737" s="74"/>
      <c r="AU737" s="74"/>
      <c r="AV737" s="74"/>
      <c r="AW737" s="74"/>
      <c r="AX737" s="74"/>
      <c r="AY737" s="74"/>
      <c r="AZ737" s="74"/>
    </row>
    <row r="738">
      <c r="A738" s="71"/>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c r="AM738" s="74"/>
      <c r="AN738" s="74"/>
      <c r="AO738" s="74"/>
      <c r="AP738" s="74"/>
      <c r="AQ738" s="74"/>
      <c r="AR738" s="74"/>
      <c r="AS738" s="74"/>
      <c r="AT738" s="74"/>
      <c r="AU738" s="74"/>
      <c r="AV738" s="74"/>
      <c r="AW738" s="74"/>
      <c r="AX738" s="74"/>
      <c r="AY738" s="74"/>
      <c r="AZ738" s="74"/>
    </row>
    <row r="739">
      <c r="A739" s="71"/>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74"/>
      <c r="AQ739" s="74"/>
      <c r="AR739" s="74"/>
      <c r="AS739" s="74"/>
      <c r="AT739" s="74"/>
      <c r="AU739" s="74"/>
      <c r="AV739" s="74"/>
      <c r="AW739" s="74"/>
      <c r="AX739" s="74"/>
      <c r="AY739" s="74"/>
      <c r="AZ739" s="74"/>
    </row>
    <row r="740">
      <c r="A740" s="71"/>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c r="AJ740" s="74"/>
      <c r="AK740" s="74"/>
      <c r="AL740" s="74"/>
      <c r="AM740" s="74"/>
      <c r="AN740" s="74"/>
      <c r="AO740" s="74"/>
      <c r="AP740" s="74"/>
      <c r="AQ740" s="74"/>
      <c r="AR740" s="74"/>
      <c r="AS740" s="74"/>
      <c r="AT740" s="74"/>
      <c r="AU740" s="74"/>
      <c r="AV740" s="74"/>
      <c r="AW740" s="74"/>
      <c r="AX740" s="74"/>
      <c r="AY740" s="74"/>
      <c r="AZ740" s="74"/>
    </row>
    <row r="741">
      <c r="A741" s="71"/>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c r="AJ741" s="74"/>
      <c r="AK741" s="74"/>
      <c r="AL741" s="74"/>
      <c r="AM741" s="74"/>
      <c r="AN741" s="74"/>
      <c r="AO741" s="74"/>
      <c r="AP741" s="74"/>
      <c r="AQ741" s="74"/>
      <c r="AR741" s="74"/>
      <c r="AS741" s="74"/>
      <c r="AT741" s="74"/>
      <c r="AU741" s="74"/>
      <c r="AV741" s="74"/>
      <c r="AW741" s="74"/>
      <c r="AX741" s="74"/>
      <c r="AY741" s="74"/>
      <c r="AZ741" s="74"/>
    </row>
    <row r="742">
      <c r="A742" s="71"/>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c r="AJ742" s="74"/>
      <c r="AK742" s="74"/>
      <c r="AL742" s="74"/>
      <c r="AM742" s="74"/>
      <c r="AN742" s="74"/>
      <c r="AO742" s="74"/>
      <c r="AP742" s="74"/>
      <c r="AQ742" s="74"/>
      <c r="AR742" s="74"/>
      <c r="AS742" s="74"/>
      <c r="AT742" s="74"/>
      <c r="AU742" s="74"/>
      <c r="AV742" s="74"/>
      <c r="AW742" s="74"/>
      <c r="AX742" s="74"/>
      <c r="AY742" s="74"/>
      <c r="AZ742" s="74"/>
    </row>
    <row r="743">
      <c r="A743" s="71"/>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c r="AJ743" s="74"/>
      <c r="AK743" s="74"/>
      <c r="AL743" s="74"/>
      <c r="AM743" s="74"/>
      <c r="AN743" s="74"/>
      <c r="AO743" s="74"/>
      <c r="AP743" s="74"/>
      <c r="AQ743" s="74"/>
      <c r="AR743" s="74"/>
      <c r="AS743" s="74"/>
      <c r="AT743" s="74"/>
      <c r="AU743" s="74"/>
      <c r="AV743" s="74"/>
      <c r="AW743" s="74"/>
      <c r="AX743" s="74"/>
      <c r="AY743" s="74"/>
      <c r="AZ743" s="74"/>
    </row>
    <row r="744">
      <c r="A744" s="71"/>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c r="AJ744" s="74"/>
      <c r="AK744" s="74"/>
      <c r="AL744" s="74"/>
      <c r="AM744" s="74"/>
      <c r="AN744" s="74"/>
      <c r="AO744" s="74"/>
      <c r="AP744" s="74"/>
      <c r="AQ744" s="74"/>
      <c r="AR744" s="74"/>
      <c r="AS744" s="74"/>
      <c r="AT744" s="74"/>
      <c r="AU744" s="74"/>
      <c r="AV744" s="74"/>
      <c r="AW744" s="74"/>
      <c r="AX744" s="74"/>
      <c r="AY744" s="74"/>
      <c r="AZ744" s="74"/>
    </row>
    <row r="745">
      <c r="A745" s="71"/>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c r="AJ745" s="74"/>
      <c r="AK745" s="74"/>
      <c r="AL745" s="74"/>
      <c r="AM745" s="74"/>
      <c r="AN745" s="74"/>
      <c r="AO745" s="74"/>
      <c r="AP745" s="74"/>
      <c r="AQ745" s="74"/>
      <c r="AR745" s="74"/>
      <c r="AS745" s="74"/>
      <c r="AT745" s="74"/>
      <c r="AU745" s="74"/>
      <c r="AV745" s="74"/>
      <c r="AW745" s="74"/>
      <c r="AX745" s="74"/>
      <c r="AY745" s="74"/>
      <c r="AZ745" s="74"/>
    </row>
    <row r="746">
      <c r="A746" s="71"/>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c r="AJ746" s="74"/>
      <c r="AK746" s="74"/>
      <c r="AL746" s="74"/>
      <c r="AM746" s="74"/>
      <c r="AN746" s="74"/>
      <c r="AO746" s="74"/>
      <c r="AP746" s="74"/>
      <c r="AQ746" s="74"/>
      <c r="AR746" s="74"/>
      <c r="AS746" s="74"/>
      <c r="AT746" s="74"/>
      <c r="AU746" s="74"/>
      <c r="AV746" s="74"/>
      <c r="AW746" s="74"/>
      <c r="AX746" s="74"/>
      <c r="AY746" s="74"/>
      <c r="AZ746" s="74"/>
    </row>
    <row r="747">
      <c r="A747" s="71"/>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c r="AJ747" s="74"/>
      <c r="AK747" s="74"/>
      <c r="AL747" s="74"/>
      <c r="AM747" s="74"/>
      <c r="AN747" s="74"/>
      <c r="AO747" s="74"/>
      <c r="AP747" s="74"/>
      <c r="AQ747" s="74"/>
      <c r="AR747" s="74"/>
      <c r="AS747" s="74"/>
      <c r="AT747" s="74"/>
      <c r="AU747" s="74"/>
      <c r="AV747" s="74"/>
      <c r="AW747" s="74"/>
      <c r="AX747" s="74"/>
      <c r="AY747" s="74"/>
      <c r="AZ747" s="74"/>
    </row>
    <row r="748">
      <c r="A748" s="71"/>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c r="AM748" s="74"/>
      <c r="AN748" s="74"/>
      <c r="AO748" s="74"/>
      <c r="AP748" s="74"/>
      <c r="AQ748" s="74"/>
      <c r="AR748" s="74"/>
      <c r="AS748" s="74"/>
      <c r="AT748" s="74"/>
      <c r="AU748" s="74"/>
      <c r="AV748" s="74"/>
      <c r="AW748" s="74"/>
      <c r="AX748" s="74"/>
      <c r="AY748" s="74"/>
      <c r="AZ748" s="74"/>
    </row>
    <row r="749">
      <c r="A749" s="71"/>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c r="AJ749" s="74"/>
      <c r="AK749" s="74"/>
      <c r="AL749" s="74"/>
      <c r="AM749" s="74"/>
      <c r="AN749" s="74"/>
      <c r="AO749" s="74"/>
      <c r="AP749" s="74"/>
      <c r="AQ749" s="74"/>
      <c r="AR749" s="74"/>
      <c r="AS749" s="74"/>
      <c r="AT749" s="74"/>
      <c r="AU749" s="74"/>
      <c r="AV749" s="74"/>
      <c r="AW749" s="74"/>
      <c r="AX749" s="74"/>
      <c r="AY749" s="74"/>
      <c r="AZ749" s="74"/>
    </row>
    <row r="750">
      <c r="A750" s="71"/>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c r="AJ750" s="74"/>
      <c r="AK750" s="74"/>
      <c r="AL750" s="74"/>
      <c r="AM750" s="74"/>
      <c r="AN750" s="74"/>
      <c r="AO750" s="74"/>
      <c r="AP750" s="74"/>
      <c r="AQ750" s="74"/>
      <c r="AR750" s="74"/>
      <c r="AS750" s="74"/>
      <c r="AT750" s="74"/>
      <c r="AU750" s="74"/>
      <c r="AV750" s="74"/>
      <c r="AW750" s="74"/>
      <c r="AX750" s="74"/>
      <c r="AY750" s="74"/>
      <c r="AZ750" s="74"/>
    </row>
    <row r="751">
      <c r="A751" s="71"/>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c r="AJ751" s="74"/>
      <c r="AK751" s="74"/>
      <c r="AL751" s="74"/>
      <c r="AM751" s="74"/>
      <c r="AN751" s="74"/>
      <c r="AO751" s="74"/>
      <c r="AP751" s="74"/>
      <c r="AQ751" s="74"/>
      <c r="AR751" s="74"/>
      <c r="AS751" s="74"/>
      <c r="AT751" s="74"/>
      <c r="AU751" s="74"/>
      <c r="AV751" s="74"/>
      <c r="AW751" s="74"/>
      <c r="AX751" s="74"/>
      <c r="AY751" s="74"/>
      <c r="AZ751" s="74"/>
    </row>
    <row r="752">
      <c r="A752" s="71"/>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c r="AJ752" s="74"/>
      <c r="AK752" s="74"/>
      <c r="AL752" s="74"/>
      <c r="AM752" s="74"/>
      <c r="AN752" s="74"/>
      <c r="AO752" s="74"/>
      <c r="AP752" s="74"/>
      <c r="AQ752" s="74"/>
      <c r="AR752" s="74"/>
      <c r="AS752" s="74"/>
      <c r="AT752" s="74"/>
      <c r="AU752" s="74"/>
      <c r="AV752" s="74"/>
      <c r="AW752" s="74"/>
      <c r="AX752" s="74"/>
      <c r="AY752" s="74"/>
      <c r="AZ752" s="74"/>
    </row>
    <row r="753">
      <c r="A753" s="71"/>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c r="AJ753" s="74"/>
      <c r="AK753" s="74"/>
      <c r="AL753" s="74"/>
      <c r="AM753" s="74"/>
      <c r="AN753" s="74"/>
      <c r="AO753" s="74"/>
      <c r="AP753" s="74"/>
      <c r="AQ753" s="74"/>
      <c r="AR753" s="74"/>
      <c r="AS753" s="74"/>
      <c r="AT753" s="74"/>
      <c r="AU753" s="74"/>
      <c r="AV753" s="74"/>
      <c r="AW753" s="74"/>
      <c r="AX753" s="74"/>
      <c r="AY753" s="74"/>
      <c r="AZ753" s="74"/>
    </row>
    <row r="754">
      <c r="A754" s="71"/>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c r="AM754" s="74"/>
      <c r="AN754" s="74"/>
      <c r="AO754" s="74"/>
      <c r="AP754" s="74"/>
      <c r="AQ754" s="74"/>
      <c r="AR754" s="74"/>
      <c r="AS754" s="74"/>
      <c r="AT754" s="74"/>
      <c r="AU754" s="74"/>
      <c r="AV754" s="74"/>
      <c r="AW754" s="74"/>
      <c r="AX754" s="74"/>
      <c r="AY754" s="74"/>
      <c r="AZ754" s="74"/>
    </row>
    <row r="755">
      <c r="A755" s="71"/>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c r="AM755" s="74"/>
      <c r="AN755" s="74"/>
      <c r="AO755" s="74"/>
      <c r="AP755" s="74"/>
      <c r="AQ755" s="74"/>
      <c r="AR755" s="74"/>
      <c r="AS755" s="74"/>
      <c r="AT755" s="74"/>
      <c r="AU755" s="74"/>
      <c r="AV755" s="74"/>
      <c r="AW755" s="74"/>
      <c r="AX755" s="74"/>
      <c r="AY755" s="74"/>
      <c r="AZ755" s="74"/>
    </row>
    <row r="756">
      <c r="A756" s="71"/>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c r="AM756" s="74"/>
      <c r="AN756" s="74"/>
      <c r="AO756" s="74"/>
      <c r="AP756" s="74"/>
      <c r="AQ756" s="74"/>
      <c r="AR756" s="74"/>
      <c r="AS756" s="74"/>
      <c r="AT756" s="74"/>
      <c r="AU756" s="74"/>
      <c r="AV756" s="74"/>
      <c r="AW756" s="74"/>
      <c r="AX756" s="74"/>
      <c r="AY756" s="74"/>
      <c r="AZ756" s="74"/>
    </row>
    <row r="757">
      <c r="A757" s="71"/>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c r="AJ757" s="74"/>
      <c r="AK757" s="74"/>
      <c r="AL757" s="74"/>
      <c r="AM757" s="74"/>
      <c r="AN757" s="74"/>
      <c r="AO757" s="74"/>
      <c r="AP757" s="74"/>
      <c r="AQ757" s="74"/>
      <c r="AR757" s="74"/>
      <c r="AS757" s="74"/>
      <c r="AT757" s="74"/>
      <c r="AU757" s="74"/>
      <c r="AV757" s="74"/>
      <c r="AW757" s="74"/>
      <c r="AX757" s="74"/>
      <c r="AY757" s="74"/>
      <c r="AZ757" s="74"/>
    </row>
    <row r="758">
      <c r="A758" s="71"/>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c r="AJ758" s="74"/>
      <c r="AK758" s="74"/>
      <c r="AL758" s="74"/>
      <c r="AM758" s="74"/>
      <c r="AN758" s="74"/>
      <c r="AO758" s="74"/>
      <c r="AP758" s="74"/>
      <c r="AQ758" s="74"/>
      <c r="AR758" s="74"/>
      <c r="AS758" s="74"/>
      <c r="AT758" s="74"/>
      <c r="AU758" s="74"/>
      <c r="AV758" s="74"/>
      <c r="AW758" s="74"/>
      <c r="AX758" s="74"/>
      <c r="AY758" s="74"/>
      <c r="AZ758" s="74"/>
    </row>
    <row r="759">
      <c r="A759" s="71"/>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c r="AJ759" s="74"/>
      <c r="AK759" s="74"/>
      <c r="AL759" s="74"/>
      <c r="AM759" s="74"/>
      <c r="AN759" s="74"/>
      <c r="AO759" s="74"/>
      <c r="AP759" s="74"/>
      <c r="AQ759" s="74"/>
      <c r="AR759" s="74"/>
      <c r="AS759" s="74"/>
      <c r="AT759" s="74"/>
      <c r="AU759" s="74"/>
      <c r="AV759" s="74"/>
      <c r="AW759" s="74"/>
      <c r="AX759" s="74"/>
      <c r="AY759" s="74"/>
      <c r="AZ759" s="74"/>
    </row>
    <row r="760">
      <c r="A760" s="71"/>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c r="AJ760" s="74"/>
      <c r="AK760" s="74"/>
      <c r="AL760" s="74"/>
      <c r="AM760" s="74"/>
      <c r="AN760" s="74"/>
      <c r="AO760" s="74"/>
      <c r="AP760" s="74"/>
      <c r="AQ760" s="74"/>
      <c r="AR760" s="74"/>
      <c r="AS760" s="74"/>
      <c r="AT760" s="74"/>
      <c r="AU760" s="74"/>
      <c r="AV760" s="74"/>
      <c r="AW760" s="74"/>
      <c r="AX760" s="74"/>
      <c r="AY760" s="74"/>
      <c r="AZ760" s="74"/>
    </row>
    <row r="761">
      <c r="A761" s="71"/>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c r="AJ761" s="74"/>
      <c r="AK761" s="74"/>
      <c r="AL761" s="74"/>
      <c r="AM761" s="74"/>
      <c r="AN761" s="74"/>
      <c r="AO761" s="74"/>
      <c r="AP761" s="74"/>
      <c r="AQ761" s="74"/>
      <c r="AR761" s="74"/>
      <c r="AS761" s="74"/>
      <c r="AT761" s="74"/>
      <c r="AU761" s="74"/>
      <c r="AV761" s="74"/>
      <c r="AW761" s="74"/>
      <c r="AX761" s="74"/>
      <c r="AY761" s="74"/>
      <c r="AZ761" s="74"/>
    </row>
    <row r="762">
      <c r="A762" s="71"/>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c r="AM762" s="74"/>
      <c r="AN762" s="74"/>
      <c r="AO762" s="74"/>
      <c r="AP762" s="74"/>
      <c r="AQ762" s="74"/>
      <c r="AR762" s="74"/>
      <c r="AS762" s="74"/>
      <c r="AT762" s="74"/>
      <c r="AU762" s="74"/>
      <c r="AV762" s="74"/>
      <c r="AW762" s="74"/>
      <c r="AX762" s="74"/>
      <c r="AY762" s="74"/>
      <c r="AZ762" s="74"/>
    </row>
    <row r="763">
      <c r="A763" s="71"/>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c r="AM763" s="74"/>
      <c r="AN763" s="74"/>
      <c r="AO763" s="74"/>
      <c r="AP763" s="74"/>
      <c r="AQ763" s="74"/>
      <c r="AR763" s="74"/>
      <c r="AS763" s="74"/>
      <c r="AT763" s="74"/>
      <c r="AU763" s="74"/>
      <c r="AV763" s="74"/>
      <c r="AW763" s="74"/>
      <c r="AX763" s="74"/>
      <c r="AY763" s="74"/>
      <c r="AZ763" s="74"/>
    </row>
    <row r="764">
      <c r="A764" s="71"/>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c r="AJ764" s="74"/>
      <c r="AK764" s="74"/>
      <c r="AL764" s="74"/>
      <c r="AM764" s="74"/>
      <c r="AN764" s="74"/>
      <c r="AO764" s="74"/>
      <c r="AP764" s="74"/>
      <c r="AQ764" s="74"/>
      <c r="AR764" s="74"/>
      <c r="AS764" s="74"/>
      <c r="AT764" s="74"/>
      <c r="AU764" s="74"/>
      <c r="AV764" s="74"/>
      <c r="AW764" s="74"/>
      <c r="AX764" s="74"/>
      <c r="AY764" s="74"/>
      <c r="AZ764" s="74"/>
    </row>
    <row r="765">
      <c r="A765" s="71"/>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c r="AJ765" s="74"/>
      <c r="AK765" s="74"/>
      <c r="AL765" s="74"/>
      <c r="AM765" s="74"/>
      <c r="AN765" s="74"/>
      <c r="AO765" s="74"/>
      <c r="AP765" s="74"/>
      <c r="AQ765" s="74"/>
      <c r="AR765" s="74"/>
      <c r="AS765" s="74"/>
      <c r="AT765" s="74"/>
      <c r="AU765" s="74"/>
      <c r="AV765" s="74"/>
      <c r="AW765" s="74"/>
      <c r="AX765" s="74"/>
      <c r="AY765" s="74"/>
      <c r="AZ765" s="74"/>
    </row>
    <row r="766">
      <c r="A766" s="71"/>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c r="AM766" s="74"/>
      <c r="AN766" s="74"/>
      <c r="AO766" s="74"/>
      <c r="AP766" s="74"/>
      <c r="AQ766" s="74"/>
      <c r="AR766" s="74"/>
      <c r="AS766" s="74"/>
      <c r="AT766" s="74"/>
      <c r="AU766" s="74"/>
      <c r="AV766" s="74"/>
      <c r="AW766" s="74"/>
      <c r="AX766" s="74"/>
      <c r="AY766" s="74"/>
      <c r="AZ766" s="74"/>
    </row>
    <row r="767">
      <c r="A767" s="71"/>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c r="AM767" s="74"/>
      <c r="AN767" s="74"/>
      <c r="AO767" s="74"/>
      <c r="AP767" s="74"/>
      <c r="AQ767" s="74"/>
      <c r="AR767" s="74"/>
      <c r="AS767" s="74"/>
      <c r="AT767" s="74"/>
      <c r="AU767" s="74"/>
      <c r="AV767" s="74"/>
      <c r="AW767" s="74"/>
      <c r="AX767" s="74"/>
      <c r="AY767" s="74"/>
      <c r="AZ767" s="74"/>
    </row>
    <row r="768">
      <c r="A768" s="71"/>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c r="AM768" s="74"/>
      <c r="AN768" s="74"/>
      <c r="AO768" s="74"/>
      <c r="AP768" s="74"/>
      <c r="AQ768" s="74"/>
      <c r="AR768" s="74"/>
      <c r="AS768" s="74"/>
      <c r="AT768" s="74"/>
      <c r="AU768" s="74"/>
      <c r="AV768" s="74"/>
      <c r="AW768" s="74"/>
      <c r="AX768" s="74"/>
      <c r="AY768" s="74"/>
      <c r="AZ768" s="74"/>
    </row>
    <row r="769">
      <c r="A769" s="71"/>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c r="AM769" s="74"/>
      <c r="AN769" s="74"/>
      <c r="AO769" s="74"/>
      <c r="AP769" s="74"/>
      <c r="AQ769" s="74"/>
      <c r="AR769" s="74"/>
      <c r="AS769" s="74"/>
      <c r="AT769" s="74"/>
      <c r="AU769" s="74"/>
      <c r="AV769" s="74"/>
      <c r="AW769" s="74"/>
      <c r="AX769" s="74"/>
      <c r="AY769" s="74"/>
      <c r="AZ769" s="74"/>
    </row>
    <row r="770">
      <c r="A770" s="71"/>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c r="AJ770" s="74"/>
      <c r="AK770" s="74"/>
      <c r="AL770" s="74"/>
      <c r="AM770" s="74"/>
      <c r="AN770" s="74"/>
      <c r="AO770" s="74"/>
      <c r="AP770" s="74"/>
      <c r="AQ770" s="74"/>
      <c r="AR770" s="74"/>
      <c r="AS770" s="74"/>
      <c r="AT770" s="74"/>
      <c r="AU770" s="74"/>
      <c r="AV770" s="74"/>
      <c r="AW770" s="74"/>
      <c r="AX770" s="74"/>
      <c r="AY770" s="74"/>
      <c r="AZ770" s="74"/>
    </row>
    <row r="771">
      <c r="A771" s="71"/>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c r="AJ771" s="74"/>
      <c r="AK771" s="74"/>
      <c r="AL771" s="74"/>
      <c r="AM771" s="74"/>
      <c r="AN771" s="74"/>
      <c r="AO771" s="74"/>
      <c r="AP771" s="74"/>
      <c r="AQ771" s="74"/>
      <c r="AR771" s="74"/>
      <c r="AS771" s="74"/>
      <c r="AT771" s="74"/>
      <c r="AU771" s="74"/>
      <c r="AV771" s="74"/>
      <c r="AW771" s="74"/>
      <c r="AX771" s="74"/>
      <c r="AY771" s="74"/>
      <c r="AZ771" s="74"/>
    </row>
    <row r="772">
      <c r="A772" s="71"/>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74"/>
      <c r="AU772" s="74"/>
      <c r="AV772" s="74"/>
      <c r="AW772" s="74"/>
      <c r="AX772" s="74"/>
      <c r="AY772" s="74"/>
      <c r="AZ772" s="74"/>
    </row>
    <row r="773">
      <c r="A773" s="71"/>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c r="AM773" s="74"/>
      <c r="AN773" s="74"/>
      <c r="AO773" s="74"/>
      <c r="AP773" s="74"/>
      <c r="AQ773" s="74"/>
      <c r="AR773" s="74"/>
      <c r="AS773" s="74"/>
      <c r="AT773" s="74"/>
      <c r="AU773" s="74"/>
      <c r="AV773" s="74"/>
      <c r="AW773" s="74"/>
      <c r="AX773" s="74"/>
      <c r="AY773" s="74"/>
      <c r="AZ773" s="74"/>
    </row>
    <row r="774">
      <c r="A774" s="71"/>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c r="AJ774" s="74"/>
      <c r="AK774" s="74"/>
      <c r="AL774" s="74"/>
      <c r="AM774" s="74"/>
      <c r="AN774" s="74"/>
      <c r="AO774" s="74"/>
      <c r="AP774" s="74"/>
      <c r="AQ774" s="74"/>
      <c r="AR774" s="74"/>
      <c r="AS774" s="74"/>
      <c r="AT774" s="74"/>
      <c r="AU774" s="74"/>
      <c r="AV774" s="74"/>
      <c r="AW774" s="74"/>
      <c r="AX774" s="74"/>
      <c r="AY774" s="74"/>
      <c r="AZ774" s="74"/>
    </row>
    <row r="775">
      <c r="A775" s="71"/>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c r="AJ775" s="74"/>
      <c r="AK775" s="74"/>
      <c r="AL775" s="74"/>
      <c r="AM775" s="74"/>
      <c r="AN775" s="74"/>
      <c r="AO775" s="74"/>
      <c r="AP775" s="74"/>
      <c r="AQ775" s="74"/>
      <c r="AR775" s="74"/>
      <c r="AS775" s="74"/>
      <c r="AT775" s="74"/>
      <c r="AU775" s="74"/>
      <c r="AV775" s="74"/>
      <c r="AW775" s="74"/>
      <c r="AX775" s="74"/>
      <c r="AY775" s="74"/>
      <c r="AZ775" s="74"/>
    </row>
    <row r="776">
      <c r="A776" s="71"/>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c r="AJ776" s="74"/>
      <c r="AK776" s="74"/>
      <c r="AL776" s="74"/>
      <c r="AM776" s="74"/>
      <c r="AN776" s="74"/>
      <c r="AO776" s="74"/>
      <c r="AP776" s="74"/>
      <c r="AQ776" s="74"/>
      <c r="AR776" s="74"/>
      <c r="AS776" s="74"/>
      <c r="AT776" s="74"/>
      <c r="AU776" s="74"/>
      <c r="AV776" s="74"/>
      <c r="AW776" s="74"/>
      <c r="AX776" s="74"/>
      <c r="AY776" s="74"/>
      <c r="AZ776" s="74"/>
    </row>
    <row r="777">
      <c r="A777" s="71"/>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c r="AJ777" s="74"/>
      <c r="AK777" s="74"/>
      <c r="AL777" s="74"/>
      <c r="AM777" s="74"/>
      <c r="AN777" s="74"/>
      <c r="AO777" s="74"/>
      <c r="AP777" s="74"/>
      <c r="AQ777" s="74"/>
      <c r="AR777" s="74"/>
      <c r="AS777" s="74"/>
      <c r="AT777" s="74"/>
      <c r="AU777" s="74"/>
      <c r="AV777" s="74"/>
      <c r="AW777" s="74"/>
      <c r="AX777" s="74"/>
      <c r="AY777" s="74"/>
      <c r="AZ777" s="74"/>
    </row>
    <row r="778">
      <c r="A778" s="71"/>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c r="AJ778" s="74"/>
      <c r="AK778" s="74"/>
      <c r="AL778" s="74"/>
      <c r="AM778" s="74"/>
      <c r="AN778" s="74"/>
      <c r="AO778" s="74"/>
      <c r="AP778" s="74"/>
      <c r="AQ778" s="74"/>
      <c r="AR778" s="74"/>
      <c r="AS778" s="74"/>
      <c r="AT778" s="74"/>
      <c r="AU778" s="74"/>
      <c r="AV778" s="74"/>
      <c r="AW778" s="74"/>
      <c r="AX778" s="74"/>
      <c r="AY778" s="74"/>
      <c r="AZ778" s="74"/>
    </row>
    <row r="779">
      <c r="A779" s="71"/>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74"/>
      <c r="AQ779" s="74"/>
      <c r="AR779" s="74"/>
      <c r="AS779" s="74"/>
      <c r="AT779" s="74"/>
      <c r="AU779" s="74"/>
      <c r="AV779" s="74"/>
      <c r="AW779" s="74"/>
      <c r="AX779" s="74"/>
      <c r="AY779" s="74"/>
      <c r="AZ779" s="74"/>
    </row>
    <row r="780">
      <c r="A780" s="71"/>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c r="AM780" s="74"/>
      <c r="AN780" s="74"/>
      <c r="AO780" s="74"/>
      <c r="AP780" s="74"/>
      <c r="AQ780" s="74"/>
      <c r="AR780" s="74"/>
      <c r="AS780" s="74"/>
      <c r="AT780" s="74"/>
      <c r="AU780" s="74"/>
      <c r="AV780" s="74"/>
      <c r="AW780" s="74"/>
      <c r="AX780" s="74"/>
      <c r="AY780" s="74"/>
      <c r="AZ780" s="74"/>
    </row>
    <row r="781">
      <c r="A781" s="71"/>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c r="AM781" s="74"/>
      <c r="AN781" s="74"/>
      <c r="AO781" s="74"/>
      <c r="AP781" s="74"/>
      <c r="AQ781" s="74"/>
      <c r="AR781" s="74"/>
      <c r="AS781" s="74"/>
      <c r="AT781" s="74"/>
      <c r="AU781" s="74"/>
      <c r="AV781" s="74"/>
      <c r="AW781" s="74"/>
      <c r="AX781" s="74"/>
      <c r="AY781" s="74"/>
      <c r="AZ781" s="74"/>
    </row>
    <row r="782">
      <c r="A782" s="71"/>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c r="AJ782" s="74"/>
      <c r="AK782" s="74"/>
      <c r="AL782" s="74"/>
      <c r="AM782" s="74"/>
      <c r="AN782" s="74"/>
      <c r="AO782" s="74"/>
      <c r="AP782" s="74"/>
      <c r="AQ782" s="74"/>
      <c r="AR782" s="74"/>
      <c r="AS782" s="74"/>
      <c r="AT782" s="74"/>
      <c r="AU782" s="74"/>
      <c r="AV782" s="74"/>
      <c r="AW782" s="74"/>
      <c r="AX782" s="74"/>
      <c r="AY782" s="74"/>
      <c r="AZ782" s="74"/>
    </row>
    <row r="783">
      <c r="A783" s="71"/>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c r="AM783" s="74"/>
      <c r="AN783" s="74"/>
      <c r="AO783" s="74"/>
      <c r="AP783" s="74"/>
      <c r="AQ783" s="74"/>
      <c r="AR783" s="74"/>
      <c r="AS783" s="74"/>
      <c r="AT783" s="74"/>
      <c r="AU783" s="74"/>
      <c r="AV783" s="74"/>
      <c r="AW783" s="74"/>
      <c r="AX783" s="74"/>
      <c r="AY783" s="74"/>
      <c r="AZ783" s="74"/>
    </row>
    <row r="784">
      <c r="A784" s="71"/>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c r="AJ784" s="74"/>
      <c r="AK784" s="74"/>
      <c r="AL784" s="74"/>
      <c r="AM784" s="74"/>
      <c r="AN784" s="74"/>
      <c r="AO784" s="74"/>
      <c r="AP784" s="74"/>
      <c r="AQ784" s="74"/>
      <c r="AR784" s="74"/>
      <c r="AS784" s="74"/>
      <c r="AT784" s="74"/>
      <c r="AU784" s="74"/>
      <c r="AV784" s="74"/>
      <c r="AW784" s="74"/>
      <c r="AX784" s="74"/>
      <c r="AY784" s="74"/>
      <c r="AZ784" s="74"/>
    </row>
    <row r="785">
      <c r="A785" s="71"/>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c r="AJ785" s="74"/>
      <c r="AK785" s="74"/>
      <c r="AL785" s="74"/>
      <c r="AM785" s="74"/>
      <c r="AN785" s="74"/>
      <c r="AO785" s="74"/>
      <c r="AP785" s="74"/>
      <c r="AQ785" s="74"/>
      <c r="AR785" s="74"/>
      <c r="AS785" s="74"/>
      <c r="AT785" s="74"/>
      <c r="AU785" s="74"/>
      <c r="AV785" s="74"/>
      <c r="AW785" s="74"/>
      <c r="AX785" s="74"/>
      <c r="AY785" s="74"/>
      <c r="AZ785" s="74"/>
    </row>
    <row r="786">
      <c r="A786" s="71"/>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c r="AO786" s="74"/>
      <c r="AP786" s="74"/>
      <c r="AQ786" s="74"/>
      <c r="AR786" s="74"/>
      <c r="AS786" s="74"/>
      <c r="AT786" s="74"/>
      <c r="AU786" s="74"/>
      <c r="AV786" s="74"/>
      <c r="AW786" s="74"/>
      <c r="AX786" s="74"/>
      <c r="AY786" s="74"/>
      <c r="AZ786" s="74"/>
    </row>
    <row r="787">
      <c r="A787" s="71"/>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74"/>
      <c r="AU787" s="74"/>
      <c r="AV787" s="74"/>
      <c r="AW787" s="74"/>
      <c r="AX787" s="74"/>
      <c r="AY787" s="74"/>
      <c r="AZ787" s="74"/>
    </row>
    <row r="788">
      <c r="A788" s="71"/>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c r="AJ788" s="74"/>
      <c r="AK788" s="74"/>
      <c r="AL788" s="74"/>
      <c r="AM788" s="74"/>
      <c r="AN788" s="74"/>
      <c r="AO788" s="74"/>
      <c r="AP788" s="74"/>
      <c r="AQ788" s="74"/>
      <c r="AR788" s="74"/>
      <c r="AS788" s="74"/>
      <c r="AT788" s="74"/>
      <c r="AU788" s="74"/>
      <c r="AV788" s="74"/>
      <c r="AW788" s="74"/>
      <c r="AX788" s="74"/>
      <c r="AY788" s="74"/>
      <c r="AZ788" s="74"/>
    </row>
    <row r="789">
      <c r="A789" s="71"/>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c r="AJ789" s="74"/>
      <c r="AK789" s="74"/>
      <c r="AL789" s="74"/>
      <c r="AM789" s="74"/>
      <c r="AN789" s="74"/>
      <c r="AO789" s="74"/>
      <c r="AP789" s="74"/>
      <c r="AQ789" s="74"/>
      <c r="AR789" s="74"/>
      <c r="AS789" s="74"/>
      <c r="AT789" s="74"/>
      <c r="AU789" s="74"/>
      <c r="AV789" s="74"/>
      <c r="AW789" s="74"/>
      <c r="AX789" s="74"/>
      <c r="AY789" s="74"/>
      <c r="AZ789" s="74"/>
    </row>
    <row r="790">
      <c r="A790" s="71"/>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c r="AJ790" s="74"/>
      <c r="AK790" s="74"/>
      <c r="AL790" s="74"/>
      <c r="AM790" s="74"/>
      <c r="AN790" s="74"/>
      <c r="AO790" s="74"/>
      <c r="AP790" s="74"/>
      <c r="AQ790" s="74"/>
      <c r="AR790" s="74"/>
      <c r="AS790" s="74"/>
      <c r="AT790" s="74"/>
      <c r="AU790" s="74"/>
      <c r="AV790" s="74"/>
      <c r="AW790" s="74"/>
      <c r="AX790" s="74"/>
      <c r="AY790" s="74"/>
      <c r="AZ790" s="74"/>
    </row>
    <row r="791">
      <c r="A791" s="71"/>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c r="AJ791" s="74"/>
      <c r="AK791" s="74"/>
      <c r="AL791" s="74"/>
      <c r="AM791" s="74"/>
      <c r="AN791" s="74"/>
      <c r="AO791" s="74"/>
      <c r="AP791" s="74"/>
      <c r="AQ791" s="74"/>
      <c r="AR791" s="74"/>
      <c r="AS791" s="74"/>
      <c r="AT791" s="74"/>
      <c r="AU791" s="74"/>
      <c r="AV791" s="74"/>
      <c r="AW791" s="74"/>
      <c r="AX791" s="74"/>
      <c r="AY791" s="74"/>
      <c r="AZ791" s="74"/>
    </row>
    <row r="792">
      <c r="A792" s="71"/>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c r="AJ792" s="74"/>
      <c r="AK792" s="74"/>
      <c r="AL792" s="74"/>
      <c r="AM792" s="74"/>
      <c r="AN792" s="74"/>
      <c r="AO792" s="74"/>
      <c r="AP792" s="74"/>
      <c r="AQ792" s="74"/>
      <c r="AR792" s="74"/>
      <c r="AS792" s="74"/>
      <c r="AT792" s="74"/>
      <c r="AU792" s="74"/>
      <c r="AV792" s="74"/>
      <c r="AW792" s="74"/>
      <c r="AX792" s="74"/>
      <c r="AY792" s="74"/>
      <c r="AZ792" s="74"/>
    </row>
    <row r="793">
      <c r="A793" s="71"/>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c r="AJ793" s="74"/>
      <c r="AK793" s="74"/>
      <c r="AL793" s="74"/>
      <c r="AM793" s="74"/>
      <c r="AN793" s="74"/>
      <c r="AO793" s="74"/>
      <c r="AP793" s="74"/>
      <c r="AQ793" s="74"/>
      <c r="AR793" s="74"/>
      <c r="AS793" s="74"/>
      <c r="AT793" s="74"/>
      <c r="AU793" s="74"/>
      <c r="AV793" s="74"/>
      <c r="AW793" s="74"/>
      <c r="AX793" s="74"/>
      <c r="AY793" s="74"/>
      <c r="AZ793" s="74"/>
    </row>
    <row r="794">
      <c r="A794" s="71"/>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c r="AJ794" s="74"/>
      <c r="AK794" s="74"/>
      <c r="AL794" s="74"/>
      <c r="AM794" s="74"/>
      <c r="AN794" s="74"/>
      <c r="AO794" s="74"/>
      <c r="AP794" s="74"/>
      <c r="AQ794" s="74"/>
      <c r="AR794" s="74"/>
      <c r="AS794" s="74"/>
      <c r="AT794" s="74"/>
      <c r="AU794" s="74"/>
      <c r="AV794" s="74"/>
      <c r="AW794" s="74"/>
      <c r="AX794" s="74"/>
      <c r="AY794" s="74"/>
      <c r="AZ794" s="74"/>
    </row>
    <row r="795">
      <c r="A795" s="71"/>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c r="AM795" s="74"/>
      <c r="AN795" s="74"/>
      <c r="AO795" s="74"/>
      <c r="AP795" s="74"/>
      <c r="AQ795" s="74"/>
      <c r="AR795" s="74"/>
      <c r="AS795" s="74"/>
      <c r="AT795" s="74"/>
      <c r="AU795" s="74"/>
      <c r="AV795" s="74"/>
      <c r="AW795" s="74"/>
      <c r="AX795" s="74"/>
      <c r="AY795" s="74"/>
      <c r="AZ795" s="74"/>
    </row>
    <row r="796">
      <c r="A796" s="71"/>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c r="AM796" s="74"/>
      <c r="AN796" s="74"/>
      <c r="AO796" s="74"/>
      <c r="AP796" s="74"/>
      <c r="AQ796" s="74"/>
      <c r="AR796" s="74"/>
      <c r="AS796" s="74"/>
      <c r="AT796" s="74"/>
      <c r="AU796" s="74"/>
      <c r="AV796" s="74"/>
      <c r="AW796" s="74"/>
      <c r="AX796" s="74"/>
      <c r="AY796" s="74"/>
      <c r="AZ796" s="74"/>
    </row>
    <row r="797">
      <c r="A797" s="71"/>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c r="AM797" s="74"/>
      <c r="AN797" s="74"/>
      <c r="AO797" s="74"/>
      <c r="AP797" s="74"/>
      <c r="AQ797" s="74"/>
      <c r="AR797" s="74"/>
      <c r="AS797" s="74"/>
      <c r="AT797" s="74"/>
      <c r="AU797" s="74"/>
      <c r="AV797" s="74"/>
      <c r="AW797" s="74"/>
      <c r="AX797" s="74"/>
      <c r="AY797" s="74"/>
      <c r="AZ797" s="74"/>
    </row>
    <row r="798">
      <c r="A798" s="71"/>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c r="AJ798" s="74"/>
      <c r="AK798" s="74"/>
      <c r="AL798" s="74"/>
      <c r="AM798" s="74"/>
      <c r="AN798" s="74"/>
      <c r="AO798" s="74"/>
      <c r="AP798" s="74"/>
      <c r="AQ798" s="74"/>
      <c r="AR798" s="74"/>
      <c r="AS798" s="74"/>
      <c r="AT798" s="74"/>
      <c r="AU798" s="74"/>
      <c r="AV798" s="74"/>
      <c r="AW798" s="74"/>
      <c r="AX798" s="74"/>
      <c r="AY798" s="74"/>
      <c r="AZ798" s="74"/>
    </row>
    <row r="799">
      <c r="A799" s="71"/>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c r="AJ799" s="74"/>
      <c r="AK799" s="74"/>
      <c r="AL799" s="74"/>
      <c r="AM799" s="74"/>
      <c r="AN799" s="74"/>
      <c r="AO799" s="74"/>
      <c r="AP799" s="74"/>
      <c r="AQ799" s="74"/>
      <c r="AR799" s="74"/>
      <c r="AS799" s="74"/>
      <c r="AT799" s="74"/>
      <c r="AU799" s="74"/>
      <c r="AV799" s="74"/>
      <c r="AW799" s="74"/>
      <c r="AX799" s="74"/>
      <c r="AY799" s="74"/>
      <c r="AZ799" s="74"/>
    </row>
    <row r="800">
      <c r="A800" s="71"/>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c r="AJ800" s="74"/>
      <c r="AK800" s="74"/>
      <c r="AL800" s="74"/>
      <c r="AM800" s="74"/>
      <c r="AN800" s="74"/>
      <c r="AO800" s="74"/>
      <c r="AP800" s="74"/>
      <c r="AQ800" s="74"/>
      <c r="AR800" s="74"/>
      <c r="AS800" s="74"/>
      <c r="AT800" s="74"/>
      <c r="AU800" s="74"/>
      <c r="AV800" s="74"/>
      <c r="AW800" s="74"/>
      <c r="AX800" s="74"/>
      <c r="AY800" s="74"/>
      <c r="AZ800" s="74"/>
    </row>
    <row r="801">
      <c r="A801" s="71"/>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c r="AM801" s="74"/>
      <c r="AN801" s="74"/>
      <c r="AO801" s="74"/>
      <c r="AP801" s="74"/>
      <c r="AQ801" s="74"/>
      <c r="AR801" s="74"/>
      <c r="AS801" s="74"/>
      <c r="AT801" s="74"/>
      <c r="AU801" s="74"/>
      <c r="AV801" s="74"/>
      <c r="AW801" s="74"/>
      <c r="AX801" s="74"/>
      <c r="AY801" s="74"/>
      <c r="AZ801" s="74"/>
    </row>
    <row r="802">
      <c r="A802" s="71"/>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c r="AJ802" s="74"/>
      <c r="AK802" s="74"/>
      <c r="AL802" s="74"/>
      <c r="AM802" s="74"/>
      <c r="AN802" s="74"/>
      <c r="AO802" s="74"/>
      <c r="AP802" s="74"/>
      <c r="AQ802" s="74"/>
      <c r="AR802" s="74"/>
      <c r="AS802" s="74"/>
      <c r="AT802" s="74"/>
      <c r="AU802" s="74"/>
      <c r="AV802" s="74"/>
      <c r="AW802" s="74"/>
      <c r="AX802" s="74"/>
      <c r="AY802" s="74"/>
      <c r="AZ802" s="74"/>
    </row>
    <row r="803">
      <c r="A803" s="71"/>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c r="AJ803" s="74"/>
      <c r="AK803" s="74"/>
      <c r="AL803" s="74"/>
      <c r="AM803" s="74"/>
      <c r="AN803" s="74"/>
      <c r="AO803" s="74"/>
      <c r="AP803" s="74"/>
      <c r="AQ803" s="74"/>
      <c r="AR803" s="74"/>
      <c r="AS803" s="74"/>
      <c r="AT803" s="74"/>
      <c r="AU803" s="74"/>
      <c r="AV803" s="74"/>
      <c r="AW803" s="74"/>
      <c r="AX803" s="74"/>
      <c r="AY803" s="74"/>
      <c r="AZ803" s="74"/>
    </row>
    <row r="804">
      <c r="A804" s="71"/>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c r="AJ804" s="74"/>
      <c r="AK804" s="74"/>
      <c r="AL804" s="74"/>
      <c r="AM804" s="74"/>
      <c r="AN804" s="74"/>
      <c r="AO804" s="74"/>
      <c r="AP804" s="74"/>
      <c r="AQ804" s="74"/>
      <c r="AR804" s="74"/>
      <c r="AS804" s="74"/>
      <c r="AT804" s="74"/>
      <c r="AU804" s="74"/>
      <c r="AV804" s="74"/>
      <c r="AW804" s="74"/>
      <c r="AX804" s="74"/>
      <c r="AY804" s="74"/>
      <c r="AZ804" s="74"/>
    </row>
    <row r="805">
      <c r="A805" s="71"/>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c r="AJ805" s="74"/>
      <c r="AK805" s="74"/>
      <c r="AL805" s="74"/>
      <c r="AM805" s="74"/>
      <c r="AN805" s="74"/>
      <c r="AO805" s="74"/>
      <c r="AP805" s="74"/>
      <c r="AQ805" s="74"/>
      <c r="AR805" s="74"/>
      <c r="AS805" s="74"/>
      <c r="AT805" s="74"/>
      <c r="AU805" s="74"/>
      <c r="AV805" s="74"/>
      <c r="AW805" s="74"/>
      <c r="AX805" s="74"/>
      <c r="AY805" s="74"/>
      <c r="AZ805" s="74"/>
    </row>
    <row r="806">
      <c r="A806" s="71"/>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c r="AJ806" s="74"/>
      <c r="AK806" s="74"/>
      <c r="AL806" s="74"/>
      <c r="AM806" s="74"/>
      <c r="AN806" s="74"/>
      <c r="AO806" s="74"/>
      <c r="AP806" s="74"/>
      <c r="AQ806" s="74"/>
      <c r="AR806" s="74"/>
      <c r="AS806" s="74"/>
      <c r="AT806" s="74"/>
      <c r="AU806" s="74"/>
      <c r="AV806" s="74"/>
      <c r="AW806" s="74"/>
      <c r="AX806" s="74"/>
      <c r="AY806" s="74"/>
      <c r="AZ806" s="74"/>
    </row>
    <row r="807">
      <c r="A807" s="71"/>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c r="AJ807" s="74"/>
      <c r="AK807" s="74"/>
      <c r="AL807" s="74"/>
      <c r="AM807" s="74"/>
      <c r="AN807" s="74"/>
      <c r="AO807" s="74"/>
      <c r="AP807" s="74"/>
      <c r="AQ807" s="74"/>
      <c r="AR807" s="74"/>
      <c r="AS807" s="74"/>
      <c r="AT807" s="74"/>
      <c r="AU807" s="74"/>
      <c r="AV807" s="74"/>
      <c r="AW807" s="74"/>
      <c r="AX807" s="74"/>
      <c r="AY807" s="74"/>
      <c r="AZ807" s="74"/>
    </row>
    <row r="808">
      <c r="A808" s="71"/>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c r="AJ808" s="74"/>
      <c r="AK808" s="74"/>
      <c r="AL808" s="74"/>
      <c r="AM808" s="74"/>
      <c r="AN808" s="74"/>
      <c r="AO808" s="74"/>
      <c r="AP808" s="74"/>
      <c r="AQ808" s="74"/>
      <c r="AR808" s="74"/>
      <c r="AS808" s="74"/>
      <c r="AT808" s="74"/>
      <c r="AU808" s="74"/>
      <c r="AV808" s="74"/>
      <c r="AW808" s="74"/>
      <c r="AX808" s="74"/>
      <c r="AY808" s="74"/>
      <c r="AZ808" s="74"/>
    </row>
    <row r="809">
      <c r="A809" s="71"/>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c r="AJ809" s="74"/>
      <c r="AK809" s="74"/>
      <c r="AL809" s="74"/>
      <c r="AM809" s="74"/>
      <c r="AN809" s="74"/>
      <c r="AO809" s="74"/>
      <c r="AP809" s="74"/>
      <c r="AQ809" s="74"/>
      <c r="AR809" s="74"/>
      <c r="AS809" s="74"/>
      <c r="AT809" s="74"/>
      <c r="AU809" s="74"/>
      <c r="AV809" s="74"/>
      <c r="AW809" s="74"/>
      <c r="AX809" s="74"/>
      <c r="AY809" s="74"/>
      <c r="AZ809" s="74"/>
    </row>
    <row r="810">
      <c r="A810" s="71"/>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c r="AJ810" s="74"/>
      <c r="AK810" s="74"/>
      <c r="AL810" s="74"/>
      <c r="AM810" s="74"/>
      <c r="AN810" s="74"/>
      <c r="AO810" s="74"/>
      <c r="AP810" s="74"/>
      <c r="AQ810" s="74"/>
      <c r="AR810" s="74"/>
      <c r="AS810" s="74"/>
      <c r="AT810" s="74"/>
      <c r="AU810" s="74"/>
      <c r="AV810" s="74"/>
      <c r="AW810" s="74"/>
      <c r="AX810" s="74"/>
      <c r="AY810" s="74"/>
      <c r="AZ810" s="74"/>
    </row>
    <row r="811">
      <c r="A811" s="71"/>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c r="AJ811" s="74"/>
      <c r="AK811" s="74"/>
      <c r="AL811" s="74"/>
      <c r="AM811" s="74"/>
      <c r="AN811" s="74"/>
      <c r="AO811" s="74"/>
      <c r="AP811" s="74"/>
      <c r="AQ811" s="74"/>
      <c r="AR811" s="74"/>
      <c r="AS811" s="74"/>
      <c r="AT811" s="74"/>
      <c r="AU811" s="74"/>
      <c r="AV811" s="74"/>
      <c r="AW811" s="74"/>
      <c r="AX811" s="74"/>
      <c r="AY811" s="74"/>
      <c r="AZ811" s="74"/>
    </row>
    <row r="812">
      <c r="A812" s="71"/>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c r="AJ812" s="74"/>
      <c r="AK812" s="74"/>
      <c r="AL812" s="74"/>
      <c r="AM812" s="74"/>
      <c r="AN812" s="74"/>
      <c r="AO812" s="74"/>
      <c r="AP812" s="74"/>
      <c r="AQ812" s="74"/>
      <c r="AR812" s="74"/>
      <c r="AS812" s="74"/>
      <c r="AT812" s="74"/>
      <c r="AU812" s="74"/>
      <c r="AV812" s="74"/>
      <c r="AW812" s="74"/>
      <c r="AX812" s="74"/>
      <c r="AY812" s="74"/>
      <c r="AZ812" s="74"/>
    </row>
    <row r="813">
      <c r="A813" s="71"/>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c r="AJ813" s="74"/>
      <c r="AK813" s="74"/>
      <c r="AL813" s="74"/>
      <c r="AM813" s="74"/>
      <c r="AN813" s="74"/>
      <c r="AO813" s="74"/>
      <c r="AP813" s="74"/>
      <c r="AQ813" s="74"/>
      <c r="AR813" s="74"/>
      <c r="AS813" s="74"/>
      <c r="AT813" s="74"/>
      <c r="AU813" s="74"/>
      <c r="AV813" s="74"/>
      <c r="AW813" s="74"/>
      <c r="AX813" s="74"/>
      <c r="AY813" s="74"/>
      <c r="AZ813" s="74"/>
    </row>
    <row r="814">
      <c r="A814" s="71"/>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c r="AJ814" s="74"/>
      <c r="AK814" s="74"/>
      <c r="AL814" s="74"/>
      <c r="AM814" s="74"/>
      <c r="AN814" s="74"/>
      <c r="AO814" s="74"/>
      <c r="AP814" s="74"/>
      <c r="AQ814" s="74"/>
      <c r="AR814" s="74"/>
      <c r="AS814" s="74"/>
      <c r="AT814" s="74"/>
      <c r="AU814" s="74"/>
      <c r="AV814" s="74"/>
      <c r="AW814" s="74"/>
      <c r="AX814" s="74"/>
      <c r="AY814" s="74"/>
      <c r="AZ814" s="74"/>
    </row>
    <row r="815">
      <c r="A815" s="71"/>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c r="AJ815" s="74"/>
      <c r="AK815" s="74"/>
      <c r="AL815" s="74"/>
      <c r="AM815" s="74"/>
      <c r="AN815" s="74"/>
      <c r="AO815" s="74"/>
      <c r="AP815" s="74"/>
      <c r="AQ815" s="74"/>
      <c r="AR815" s="74"/>
      <c r="AS815" s="74"/>
      <c r="AT815" s="74"/>
      <c r="AU815" s="74"/>
      <c r="AV815" s="74"/>
      <c r="AW815" s="74"/>
      <c r="AX815" s="74"/>
      <c r="AY815" s="74"/>
      <c r="AZ815" s="74"/>
    </row>
    <row r="816">
      <c r="A816" s="71"/>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c r="AJ816" s="74"/>
      <c r="AK816" s="74"/>
      <c r="AL816" s="74"/>
      <c r="AM816" s="74"/>
      <c r="AN816" s="74"/>
      <c r="AO816" s="74"/>
      <c r="AP816" s="74"/>
      <c r="AQ816" s="74"/>
      <c r="AR816" s="74"/>
      <c r="AS816" s="74"/>
      <c r="AT816" s="74"/>
      <c r="AU816" s="74"/>
      <c r="AV816" s="74"/>
      <c r="AW816" s="74"/>
      <c r="AX816" s="74"/>
      <c r="AY816" s="74"/>
      <c r="AZ816" s="74"/>
    </row>
    <row r="817">
      <c r="A817" s="71"/>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c r="AJ817" s="74"/>
      <c r="AK817" s="74"/>
      <c r="AL817" s="74"/>
      <c r="AM817" s="74"/>
      <c r="AN817" s="74"/>
      <c r="AO817" s="74"/>
      <c r="AP817" s="74"/>
      <c r="AQ817" s="74"/>
      <c r="AR817" s="74"/>
      <c r="AS817" s="74"/>
      <c r="AT817" s="74"/>
      <c r="AU817" s="74"/>
      <c r="AV817" s="74"/>
      <c r="AW817" s="74"/>
      <c r="AX817" s="74"/>
      <c r="AY817" s="74"/>
      <c r="AZ817" s="74"/>
    </row>
    <row r="818">
      <c r="A818" s="71"/>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c r="AJ818" s="74"/>
      <c r="AK818" s="74"/>
      <c r="AL818" s="74"/>
      <c r="AM818" s="74"/>
      <c r="AN818" s="74"/>
      <c r="AO818" s="74"/>
      <c r="AP818" s="74"/>
      <c r="AQ818" s="74"/>
      <c r="AR818" s="74"/>
      <c r="AS818" s="74"/>
      <c r="AT818" s="74"/>
      <c r="AU818" s="74"/>
      <c r="AV818" s="74"/>
      <c r="AW818" s="74"/>
      <c r="AX818" s="74"/>
      <c r="AY818" s="74"/>
      <c r="AZ818" s="74"/>
    </row>
    <row r="819">
      <c r="A819" s="71"/>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c r="AJ819" s="74"/>
      <c r="AK819" s="74"/>
      <c r="AL819" s="74"/>
      <c r="AM819" s="74"/>
      <c r="AN819" s="74"/>
      <c r="AO819" s="74"/>
      <c r="AP819" s="74"/>
      <c r="AQ819" s="74"/>
      <c r="AR819" s="74"/>
      <c r="AS819" s="74"/>
      <c r="AT819" s="74"/>
      <c r="AU819" s="74"/>
      <c r="AV819" s="74"/>
      <c r="AW819" s="74"/>
      <c r="AX819" s="74"/>
      <c r="AY819" s="74"/>
      <c r="AZ819" s="74"/>
    </row>
    <row r="820">
      <c r="A820" s="71"/>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c r="AJ820" s="74"/>
      <c r="AK820" s="74"/>
      <c r="AL820" s="74"/>
      <c r="AM820" s="74"/>
      <c r="AN820" s="74"/>
      <c r="AO820" s="74"/>
      <c r="AP820" s="74"/>
      <c r="AQ820" s="74"/>
      <c r="AR820" s="74"/>
      <c r="AS820" s="74"/>
      <c r="AT820" s="74"/>
      <c r="AU820" s="74"/>
      <c r="AV820" s="74"/>
      <c r="AW820" s="74"/>
      <c r="AX820" s="74"/>
      <c r="AY820" s="74"/>
      <c r="AZ820" s="74"/>
    </row>
    <row r="821">
      <c r="A821" s="71"/>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c r="AJ821" s="74"/>
      <c r="AK821" s="74"/>
      <c r="AL821" s="74"/>
      <c r="AM821" s="74"/>
      <c r="AN821" s="74"/>
      <c r="AO821" s="74"/>
      <c r="AP821" s="74"/>
      <c r="AQ821" s="74"/>
      <c r="AR821" s="74"/>
      <c r="AS821" s="74"/>
      <c r="AT821" s="74"/>
      <c r="AU821" s="74"/>
      <c r="AV821" s="74"/>
      <c r="AW821" s="74"/>
      <c r="AX821" s="74"/>
      <c r="AY821" s="74"/>
      <c r="AZ821" s="74"/>
    </row>
    <row r="822">
      <c r="A822" s="71"/>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c r="AJ822" s="74"/>
      <c r="AK822" s="74"/>
      <c r="AL822" s="74"/>
      <c r="AM822" s="74"/>
      <c r="AN822" s="74"/>
      <c r="AO822" s="74"/>
      <c r="AP822" s="74"/>
      <c r="AQ822" s="74"/>
      <c r="AR822" s="74"/>
      <c r="AS822" s="74"/>
      <c r="AT822" s="74"/>
      <c r="AU822" s="74"/>
      <c r="AV822" s="74"/>
      <c r="AW822" s="74"/>
      <c r="AX822" s="74"/>
      <c r="AY822" s="74"/>
      <c r="AZ822" s="74"/>
    </row>
    <row r="823">
      <c r="A823" s="71"/>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c r="AJ823" s="74"/>
      <c r="AK823" s="74"/>
      <c r="AL823" s="74"/>
      <c r="AM823" s="74"/>
      <c r="AN823" s="74"/>
      <c r="AO823" s="74"/>
      <c r="AP823" s="74"/>
      <c r="AQ823" s="74"/>
      <c r="AR823" s="74"/>
      <c r="AS823" s="74"/>
      <c r="AT823" s="74"/>
      <c r="AU823" s="74"/>
      <c r="AV823" s="74"/>
      <c r="AW823" s="74"/>
      <c r="AX823" s="74"/>
      <c r="AY823" s="74"/>
      <c r="AZ823" s="74"/>
    </row>
    <row r="824">
      <c r="A824" s="71"/>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c r="AJ824" s="74"/>
      <c r="AK824" s="74"/>
      <c r="AL824" s="74"/>
      <c r="AM824" s="74"/>
      <c r="AN824" s="74"/>
      <c r="AO824" s="74"/>
      <c r="AP824" s="74"/>
      <c r="AQ824" s="74"/>
      <c r="AR824" s="74"/>
      <c r="AS824" s="74"/>
      <c r="AT824" s="74"/>
      <c r="AU824" s="74"/>
      <c r="AV824" s="74"/>
      <c r="AW824" s="74"/>
      <c r="AX824" s="74"/>
      <c r="AY824" s="74"/>
      <c r="AZ824" s="74"/>
    </row>
    <row r="825">
      <c r="A825" s="71"/>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c r="AJ825" s="74"/>
      <c r="AK825" s="74"/>
      <c r="AL825" s="74"/>
      <c r="AM825" s="74"/>
      <c r="AN825" s="74"/>
      <c r="AO825" s="74"/>
      <c r="AP825" s="74"/>
      <c r="AQ825" s="74"/>
      <c r="AR825" s="74"/>
      <c r="AS825" s="74"/>
      <c r="AT825" s="74"/>
      <c r="AU825" s="74"/>
      <c r="AV825" s="74"/>
      <c r="AW825" s="74"/>
      <c r="AX825" s="74"/>
      <c r="AY825" s="74"/>
      <c r="AZ825" s="74"/>
    </row>
    <row r="826">
      <c r="A826" s="71"/>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c r="AM826" s="74"/>
      <c r="AN826" s="74"/>
      <c r="AO826" s="74"/>
      <c r="AP826" s="74"/>
      <c r="AQ826" s="74"/>
      <c r="AR826" s="74"/>
      <c r="AS826" s="74"/>
      <c r="AT826" s="74"/>
      <c r="AU826" s="74"/>
      <c r="AV826" s="74"/>
      <c r="AW826" s="74"/>
      <c r="AX826" s="74"/>
      <c r="AY826" s="74"/>
      <c r="AZ826" s="74"/>
    </row>
    <row r="827">
      <c r="A827" s="71"/>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c r="AJ827" s="74"/>
      <c r="AK827" s="74"/>
      <c r="AL827" s="74"/>
      <c r="AM827" s="74"/>
      <c r="AN827" s="74"/>
      <c r="AO827" s="74"/>
      <c r="AP827" s="74"/>
      <c r="AQ827" s="74"/>
      <c r="AR827" s="74"/>
      <c r="AS827" s="74"/>
      <c r="AT827" s="74"/>
      <c r="AU827" s="74"/>
      <c r="AV827" s="74"/>
      <c r="AW827" s="74"/>
      <c r="AX827" s="74"/>
      <c r="AY827" s="74"/>
      <c r="AZ827" s="74"/>
    </row>
    <row r="828">
      <c r="A828" s="71"/>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c r="AJ828" s="74"/>
      <c r="AK828" s="74"/>
      <c r="AL828" s="74"/>
      <c r="AM828" s="74"/>
      <c r="AN828" s="74"/>
      <c r="AO828" s="74"/>
      <c r="AP828" s="74"/>
      <c r="AQ828" s="74"/>
      <c r="AR828" s="74"/>
      <c r="AS828" s="74"/>
      <c r="AT828" s="74"/>
      <c r="AU828" s="74"/>
      <c r="AV828" s="74"/>
      <c r="AW828" s="74"/>
      <c r="AX828" s="74"/>
      <c r="AY828" s="74"/>
      <c r="AZ828" s="74"/>
    </row>
    <row r="829">
      <c r="A829" s="71"/>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c r="AJ829" s="74"/>
      <c r="AK829" s="74"/>
      <c r="AL829" s="74"/>
      <c r="AM829" s="74"/>
      <c r="AN829" s="74"/>
      <c r="AO829" s="74"/>
      <c r="AP829" s="74"/>
      <c r="AQ829" s="74"/>
      <c r="AR829" s="74"/>
      <c r="AS829" s="74"/>
      <c r="AT829" s="74"/>
      <c r="AU829" s="74"/>
      <c r="AV829" s="74"/>
      <c r="AW829" s="74"/>
      <c r="AX829" s="74"/>
      <c r="AY829" s="74"/>
      <c r="AZ829" s="74"/>
    </row>
    <row r="830">
      <c r="A830" s="71"/>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c r="AJ830" s="74"/>
      <c r="AK830" s="74"/>
      <c r="AL830" s="74"/>
      <c r="AM830" s="74"/>
      <c r="AN830" s="74"/>
      <c r="AO830" s="74"/>
      <c r="AP830" s="74"/>
      <c r="AQ830" s="74"/>
      <c r="AR830" s="74"/>
      <c r="AS830" s="74"/>
      <c r="AT830" s="74"/>
      <c r="AU830" s="74"/>
      <c r="AV830" s="74"/>
      <c r="AW830" s="74"/>
      <c r="AX830" s="74"/>
      <c r="AY830" s="74"/>
      <c r="AZ830" s="74"/>
    </row>
    <row r="831">
      <c r="A831" s="71"/>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c r="AJ831" s="74"/>
      <c r="AK831" s="74"/>
      <c r="AL831" s="74"/>
      <c r="AM831" s="74"/>
      <c r="AN831" s="74"/>
      <c r="AO831" s="74"/>
      <c r="AP831" s="74"/>
      <c r="AQ831" s="74"/>
      <c r="AR831" s="74"/>
      <c r="AS831" s="74"/>
      <c r="AT831" s="74"/>
      <c r="AU831" s="74"/>
      <c r="AV831" s="74"/>
      <c r="AW831" s="74"/>
      <c r="AX831" s="74"/>
      <c r="AY831" s="74"/>
      <c r="AZ831" s="74"/>
    </row>
    <row r="832">
      <c r="A832" s="71"/>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c r="AJ832" s="74"/>
      <c r="AK832" s="74"/>
      <c r="AL832" s="74"/>
      <c r="AM832" s="74"/>
      <c r="AN832" s="74"/>
      <c r="AO832" s="74"/>
      <c r="AP832" s="74"/>
      <c r="AQ832" s="74"/>
      <c r="AR832" s="74"/>
      <c r="AS832" s="74"/>
      <c r="AT832" s="74"/>
      <c r="AU832" s="74"/>
      <c r="AV832" s="74"/>
      <c r="AW832" s="74"/>
      <c r="AX832" s="74"/>
      <c r="AY832" s="74"/>
      <c r="AZ832" s="74"/>
    </row>
    <row r="833">
      <c r="A833" s="71"/>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c r="AJ833" s="74"/>
      <c r="AK833" s="74"/>
      <c r="AL833" s="74"/>
      <c r="AM833" s="74"/>
      <c r="AN833" s="74"/>
      <c r="AO833" s="74"/>
      <c r="AP833" s="74"/>
      <c r="AQ833" s="74"/>
      <c r="AR833" s="74"/>
      <c r="AS833" s="74"/>
      <c r="AT833" s="74"/>
      <c r="AU833" s="74"/>
      <c r="AV833" s="74"/>
      <c r="AW833" s="74"/>
      <c r="AX833" s="74"/>
      <c r="AY833" s="74"/>
      <c r="AZ833" s="74"/>
    </row>
    <row r="834">
      <c r="A834" s="71"/>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c r="AJ834" s="74"/>
      <c r="AK834" s="74"/>
      <c r="AL834" s="74"/>
      <c r="AM834" s="74"/>
      <c r="AN834" s="74"/>
      <c r="AO834" s="74"/>
      <c r="AP834" s="74"/>
      <c r="AQ834" s="74"/>
      <c r="AR834" s="74"/>
      <c r="AS834" s="74"/>
      <c r="AT834" s="74"/>
      <c r="AU834" s="74"/>
      <c r="AV834" s="74"/>
      <c r="AW834" s="74"/>
      <c r="AX834" s="74"/>
      <c r="AY834" s="74"/>
      <c r="AZ834" s="74"/>
    </row>
    <row r="835">
      <c r="A835" s="71"/>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c r="AJ835" s="74"/>
      <c r="AK835" s="74"/>
      <c r="AL835" s="74"/>
      <c r="AM835" s="74"/>
      <c r="AN835" s="74"/>
      <c r="AO835" s="74"/>
      <c r="AP835" s="74"/>
      <c r="AQ835" s="74"/>
      <c r="AR835" s="74"/>
      <c r="AS835" s="74"/>
      <c r="AT835" s="74"/>
      <c r="AU835" s="74"/>
      <c r="AV835" s="74"/>
      <c r="AW835" s="74"/>
      <c r="AX835" s="74"/>
      <c r="AY835" s="74"/>
      <c r="AZ835" s="74"/>
    </row>
    <row r="836">
      <c r="A836" s="71"/>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c r="AJ836" s="74"/>
      <c r="AK836" s="74"/>
      <c r="AL836" s="74"/>
      <c r="AM836" s="74"/>
      <c r="AN836" s="74"/>
      <c r="AO836" s="74"/>
      <c r="AP836" s="74"/>
      <c r="AQ836" s="74"/>
      <c r="AR836" s="74"/>
      <c r="AS836" s="74"/>
      <c r="AT836" s="74"/>
      <c r="AU836" s="74"/>
      <c r="AV836" s="74"/>
      <c r="AW836" s="74"/>
      <c r="AX836" s="74"/>
      <c r="AY836" s="74"/>
      <c r="AZ836" s="74"/>
    </row>
    <row r="837">
      <c r="A837" s="71"/>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c r="AJ837" s="74"/>
      <c r="AK837" s="74"/>
      <c r="AL837" s="74"/>
      <c r="AM837" s="74"/>
      <c r="AN837" s="74"/>
      <c r="AO837" s="74"/>
      <c r="AP837" s="74"/>
      <c r="AQ837" s="74"/>
      <c r="AR837" s="74"/>
      <c r="AS837" s="74"/>
      <c r="AT837" s="74"/>
      <c r="AU837" s="74"/>
      <c r="AV837" s="74"/>
      <c r="AW837" s="74"/>
      <c r="AX837" s="74"/>
      <c r="AY837" s="74"/>
      <c r="AZ837" s="74"/>
    </row>
    <row r="838">
      <c r="A838" s="71"/>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c r="AJ838" s="74"/>
      <c r="AK838" s="74"/>
      <c r="AL838" s="74"/>
      <c r="AM838" s="74"/>
      <c r="AN838" s="74"/>
      <c r="AO838" s="74"/>
      <c r="AP838" s="74"/>
      <c r="AQ838" s="74"/>
      <c r="AR838" s="74"/>
      <c r="AS838" s="74"/>
      <c r="AT838" s="74"/>
      <c r="AU838" s="74"/>
      <c r="AV838" s="74"/>
      <c r="AW838" s="74"/>
      <c r="AX838" s="74"/>
      <c r="AY838" s="74"/>
      <c r="AZ838" s="74"/>
    </row>
    <row r="839">
      <c r="A839" s="71"/>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c r="AJ839" s="74"/>
      <c r="AK839" s="74"/>
      <c r="AL839" s="74"/>
      <c r="AM839" s="74"/>
      <c r="AN839" s="74"/>
      <c r="AO839" s="74"/>
      <c r="AP839" s="74"/>
      <c r="AQ839" s="74"/>
      <c r="AR839" s="74"/>
      <c r="AS839" s="74"/>
      <c r="AT839" s="74"/>
      <c r="AU839" s="74"/>
      <c r="AV839" s="74"/>
      <c r="AW839" s="74"/>
      <c r="AX839" s="74"/>
      <c r="AY839" s="74"/>
      <c r="AZ839" s="74"/>
    </row>
    <row r="840">
      <c r="A840" s="71"/>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c r="AJ840" s="74"/>
      <c r="AK840" s="74"/>
      <c r="AL840" s="74"/>
      <c r="AM840" s="74"/>
      <c r="AN840" s="74"/>
      <c r="AO840" s="74"/>
      <c r="AP840" s="74"/>
      <c r="AQ840" s="74"/>
      <c r="AR840" s="74"/>
      <c r="AS840" s="74"/>
      <c r="AT840" s="74"/>
      <c r="AU840" s="74"/>
      <c r="AV840" s="74"/>
      <c r="AW840" s="74"/>
      <c r="AX840" s="74"/>
      <c r="AY840" s="74"/>
      <c r="AZ840" s="74"/>
    </row>
    <row r="841">
      <c r="A841" s="71"/>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c r="AJ841" s="74"/>
      <c r="AK841" s="74"/>
      <c r="AL841" s="74"/>
      <c r="AM841" s="74"/>
      <c r="AN841" s="74"/>
      <c r="AO841" s="74"/>
      <c r="AP841" s="74"/>
      <c r="AQ841" s="74"/>
      <c r="AR841" s="74"/>
      <c r="AS841" s="74"/>
      <c r="AT841" s="74"/>
      <c r="AU841" s="74"/>
      <c r="AV841" s="74"/>
      <c r="AW841" s="74"/>
      <c r="AX841" s="74"/>
      <c r="AY841" s="74"/>
      <c r="AZ841" s="74"/>
    </row>
    <row r="842">
      <c r="A842" s="71"/>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c r="AJ842" s="74"/>
      <c r="AK842" s="74"/>
      <c r="AL842" s="74"/>
      <c r="AM842" s="74"/>
      <c r="AN842" s="74"/>
      <c r="AO842" s="74"/>
      <c r="AP842" s="74"/>
      <c r="AQ842" s="74"/>
      <c r="AR842" s="74"/>
      <c r="AS842" s="74"/>
      <c r="AT842" s="74"/>
      <c r="AU842" s="74"/>
      <c r="AV842" s="74"/>
      <c r="AW842" s="74"/>
      <c r="AX842" s="74"/>
      <c r="AY842" s="74"/>
      <c r="AZ842" s="74"/>
    </row>
    <row r="843">
      <c r="A843" s="71"/>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c r="AJ843" s="74"/>
      <c r="AK843" s="74"/>
      <c r="AL843" s="74"/>
      <c r="AM843" s="74"/>
      <c r="AN843" s="74"/>
      <c r="AO843" s="74"/>
      <c r="AP843" s="74"/>
      <c r="AQ843" s="74"/>
      <c r="AR843" s="74"/>
      <c r="AS843" s="74"/>
      <c r="AT843" s="74"/>
      <c r="AU843" s="74"/>
      <c r="AV843" s="74"/>
      <c r="AW843" s="74"/>
      <c r="AX843" s="74"/>
      <c r="AY843" s="74"/>
      <c r="AZ843" s="74"/>
    </row>
    <row r="844">
      <c r="A844" s="71"/>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c r="AJ844" s="74"/>
      <c r="AK844" s="74"/>
      <c r="AL844" s="74"/>
      <c r="AM844" s="74"/>
      <c r="AN844" s="74"/>
      <c r="AO844" s="74"/>
      <c r="AP844" s="74"/>
      <c r="AQ844" s="74"/>
      <c r="AR844" s="74"/>
      <c r="AS844" s="74"/>
      <c r="AT844" s="74"/>
      <c r="AU844" s="74"/>
      <c r="AV844" s="74"/>
      <c r="AW844" s="74"/>
      <c r="AX844" s="74"/>
      <c r="AY844" s="74"/>
      <c r="AZ844" s="74"/>
    </row>
    <row r="845">
      <c r="A845" s="71"/>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c r="AJ845" s="74"/>
      <c r="AK845" s="74"/>
      <c r="AL845" s="74"/>
      <c r="AM845" s="74"/>
      <c r="AN845" s="74"/>
      <c r="AO845" s="74"/>
      <c r="AP845" s="74"/>
      <c r="AQ845" s="74"/>
      <c r="AR845" s="74"/>
      <c r="AS845" s="74"/>
      <c r="AT845" s="74"/>
      <c r="AU845" s="74"/>
      <c r="AV845" s="74"/>
      <c r="AW845" s="74"/>
      <c r="AX845" s="74"/>
      <c r="AY845" s="74"/>
      <c r="AZ845" s="74"/>
    </row>
    <row r="846">
      <c r="A846" s="71"/>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c r="AN846" s="74"/>
      <c r="AO846" s="74"/>
      <c r="AP846" s="74"/>
      <c r="AQ846" s="74"/>
      <c r="AR846" s="74"/>
      <c r="AS846" s="74"/>
      <c r="AT846" s="74"/>
      <c r="AU846" s="74"/>
      <c r="AV846" s="74"/>
      <c r="AW846" s="74"/>
      <c r="AX846" s="74"/>
      <c r="AY846" s="74"/>
      <c r="AZ846" s="74"/>
    </row>
    <row r="847">
      <c r="A847" s="71"/>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c r="AJ847" s="74"/>
      <c r="AK847" s="74"/>
      <c r="AL847" s="74"/>
      <c r="AM847" s="74"/>
      <c r="AN847" s="74"/>
      <c r="AO847" s="74"/>
      <c r="AP847" s="74"/>
      <c r="AQ847" s="74"/>
      <c r="AR847" s="74"/>
      <c r="AS847" s="74"/>
      <c r="AT847" s="74"/>
      <c r="AU847" s="74"/>
      <c r="AV847" s="74"/>
      <c r="AW847" s="74"/>
      <c r="AX847" s="74"/>
      <c r="AY847" s="74"/>
      <c r="AZ847" s="74"/>
    </row>
    <row r="848">
      <c r="A848" s="71"/>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c r="AJ848" s="74"/>
      <c r="AK848" s="74"/>
      <c r="AL848" s="74"/>
      <c r="AM848" s="74"/>
      <c r="AN848" s="74"/>
      <c r="AO848" s="74"/>
      <c r="AP848" s="74"/>
      <c r="AQ848" s="74"/>
      <c r="AR848" s="74"/>
      <c r="AS848" s="74"/>
      <c r="AT848" s="74"/>
      <c r="AU848" s="74"/>
      <c r="AV848" s="74"/>
      <c r="AW848" s="74"/>
      <c r="AX848" s="74"/>
      <c r="AY848" s="74"/>
      <c r="AZ848" s="74"/>
    </row>
    <row r="849">
      <c r="A849" s="71"/>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c r="AJ849" s="74"/>
      <c r="AK849" s="74"/>
      <c r="AL849" s="74"/>
      <c r="AM849" s="74"/>
      <c r="AN849" s="74"/>
      <c r="AO849" s="74"/>
      <c r="AP849" s="74"/>
      <c r="AQ849" s="74"/>
      <c r="AR849" s="74"/>
      <c r="AS849" s="74"/>
      <c r="AT849" s="74"/>
      <c r="AU849" s="74"/>
      <c r="AV849" s="74"/>
      <c r="AW849" s="74"/>
      <c r="AX849" s="74"/>
      <c r="AY849" s="74"/>
      <c r="AZ849" s="74"/>
    </row>
    <row r="850">
      <c r="A850" s="71"/>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c r="AJ850" s="74"/>
      <c r="AK850" s="74"/>
      <c r="AL850" s="74"/>
      <c r="AM850" s="74"/>
      <c r="AN850" s="74"/>
      <c r="AO850" s="74"/>
      <c r="AP850" s="74"/>
      <c r="AQ850" s="74"/>
      <c r="AR850" s="74"/>
      <c r="AS850" s="74"/>
      <c r="AT850" s="74"/>
      <c r="AU850" s="74"/>
      <c r="AV850" s="74"/>
      <c r="AW850" s="74"/>
      <c r="AX850" s="74"/>
      <c r="AY850" s="74"/>
      <c r="AZ850" s="74"/>
    </row>
    <row r="851">
      <c r="A851" s="71"/>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c r="AJ851" s="74"/>
      <c r="AK851" s="74"/>
      <c r="AL851" s="74"/>
      <c r="AM851" s="74"/>
      <c r="AN851" s="74"/>
      <c r="AO851" s="74"/>
      <c r="AP851" s="74"/>
      <c r="AQ851" s="74"/>
      <c r="AR851" s="74"/>
      <c r="AS851" s="74"/>
      <c r="AT851" s="74"/>
      <c r="AU851" s="74"/>
      <c r="AV851" s="74"/>
      <c r="AW851" s="74"/>
      <c r="AX851" s="74"/>
      <c r="AY851" s="74"/>
      <c r="AZ851" s="74"/>
    </row>
    <row r="852">
      <c r="A852" s="71"/>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c r="AJ852" s="74"/>
      <c r="AK852" s="74"/>
      <c r="AL852" s="74"/>
      <c r="AM852" s="74"/>
      <c r="AN852" s="74"/>
      <c r="AO852" s="74"/>
      <c r="AP852" s="74"/>
      <c r="AQ852" s="74"/>
      <c r="AR852" s="74"/>
      <c r="AS852" s="74"/>
      <c r="AT852" s="74"/>
      <c r="AU852" s="74"/>
      <c r="AV852" s="74"/>
      <c r="AW852" s="74"/>
      <c r="AX852" s="74"/>
      <c r="AY852" s="74"/>
      <c r="AZ852" s="74"/>
    </row>
    <row r="853">
      <c r="A853" s="71"/>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c r="AJ853" s="74"/>
      <c r="AK853" s="74"/>
      <c r="AL853" s="74"/>
      <c r="AM853" s="74"/>
      <c r="AN853" s="74"/>
      <c r="AO853" s="74"/>
      <c r="AP853" s="74"/>
      <c r="AQ853" s="74"/>
      <c r="AR853" s="74"/>
      <c r="AS853" s="74"/>
      <c r="AT853" s="74"/>
      <c r="AU853" s="74"/>
      <c r="AV853" s="74"/>
      <c r="AW853" s="74"/>
      <c r="AX853" s="74"/>
      <c r="AY853" s="74"/>
      <c r="AZ853" s="74"/>
    </row>
    <row r="854">
      <c r="A854" s="71"/>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c r="AJ854" s="74"/>
      <c r="AK854" s="74"/>
      <c r="AL854" s="74"/>
      <c r="AM854" s="74"/>
      <c r="AN854" s="74"/>
      <c r="AO854" s="74"/>
      <c r="AP854" s="74"/>
      <c r="AQ854" s="74"/>
      <c r="AR854" s="74"/>
      <c r="AS854" s="74"/>
      <c r="AT854" s="74"/>
      <c r="AU854" s="74"/>
      <c r="AV854" s="74"/>
      <c r="AW854" s="74"/>
      <c r="AX854" s="74"/>
      <c r="AY854" s="74"/>
      <c r="AZ854" s="74"/>
    </row>
    <row r="855">
      <c r="A855" s="71"/>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c r="AJ855" s="74"/>
      <c r="AK855" s="74"/>
      <c r="AL855" s="74"/>
      <c r="AM855" s="74"/>
      <c r="AN855" s="74"/>
      <c r="AO855" s="74"/>
      <c r="AP855" s="74"/>
      <c r="AQ855" s="74"/>
      <c r="AR855" s="74"/>
      <c r="AS855" s="74"/>
      <c r="AT855" s="74"/>
      <c r="AU855" s="74"/>
      <c r="AV855" s="74"/>
      <c r="AW855" s="74"/>
      <c r="AX855" s="74"/>
      <c r="AY855" s="74"/>
      <c r="AZ855" s="74"/>
    </row>
    <row r="856">
      <c r="A856" s="71"/>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c r="AJ856" s="74"/>
      <c r="AK856" s="74"/>
      <c r="AL856" s="74"/>
      <c r="AM856" s="74"/>
      <c r="AN856" s="74"/>
      <c r="AO856" s="74"/>
      <c r="AP856" s="74"/>
      <c r="AQ856" s="74"/>
      <c r="AR856" s="74"/>
      <c r="AS856" s="74"/>
      <c r="AT856" s="74"/>
      <c r="AU856" s="74"/>
      <c r="AV856" s="74"/>
      <c r="AW856" s="74"/>
      <c r="AX856" s="74"/>
      <c r="AY856" s="74"/>
      <c r="AZ856" s="74"/>
    </row>
    <row r="857">
      <c r="A857" s="71"/>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c r="AJ857" s="74"/>
      <c r="AK857" s="74"/>
      <c r="AL857" s="74"/>
      <c r="AM857" s="74"/>
      <c r="AN857" s="74"/>
      <c r="AO857" s="74"/>
      <c r="AP857" s="74"/>
      <c r="AQ857" s="74"/>
      <c r="AR857" s="74"/>
      <c r="AS857" s="74"/>
      <c r="AT857" s="74"/>
      <c r="AU857" s="74"/>
      <c r="AV857" s="74"/>
      <c r="AW857" s="74"/>
      <c r="AX857" s="74"/>
      <c r="AY857" s="74"/>
      <c r="AZ857" s="74"/>
    </row>
    <row r="858">
      <c r="A858" s="71"/>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c r="AJ858" s="74"/>
      <c r="AK858" s="74"/>
      <c r="AL858" s="74"/>
      <c r="AM858" s="74"/>
      <c r="AN858" s="74"/>
      <c r="AO858" s="74"/>
      <c r="AP858" s="74"/>
      <c r="AQ858" s="74"/>
      <c r="AR858" s="74"/>
      <c r="AS858" s="74"/>
      <c r="AT858" s="74"/>
      <c r="AU858" s="74"/>
      <c r="AV858" s="74"/>
      <c r="AW858" s="74"/>
      <c r="AX858" s="74"/>
      <c r="AY858" s="74"/>
      <c r="AZ858" s="74"/>
    </row>
    <row r="859">
      <c r="A859" s="71"/>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c r="AJ859" s="74"/>
      <c r="AK859" s="74"/>
      <c r="AL859" s="74"/>
      <c r="AM859" s="74"/>
      <c r="AN859" s="74"/>
      <c r="AO859" s="74"/>
      <c r="AP859" s="74"/>
      <c r="AQ859" s="74"/>
      <c r="AR859" s="74"/>
      <c r="AS859" s="74"/>
      <c r="AT859" s="74"/>
      <c r="AU859" s="74"/>
      <c r="AV859" s="74"/>
      <c r="AW859" s="74"/>
      <c r="AX859" s="74"/>
      <c r="AY859" s="74"/>
      <c r="AZ859" s="74"/>
    </row>
    <row r="860">
      <c r="A860" s="71"/>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c r="AJ860" s="74"/>
      <c r="AK860" s="74"/>
      <c r="AL860" s="74"/>
      <c r="AM860" s="74"/>
      <c r="AN860" s="74"/>
      <c r="AO860" s="74"/>
      <c r="AP860" s="74"/>
      <c r="AQ860" s="74"/>
      <c r="AR860" s="74"/>
      <c r="AS860" s="74"/>
      <c r="AT860" s="74"/>
      <c r="AU860" s="74"/>
      <c r="AV860" s="74"/>
      <c r="AW860" s="74"/>
      <c r="AX860" s="74"/>
      <c r="AY860" s="74"/>
      <c r="AZ860" s="74"/>
    </row>
    <row r="861">
      <c r="A861" s="71"/>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c r="AJ861" s="74"/>
      <c r="AK861" s="74"/>
      <c r="AL861" s="74"/>
      <c r="AM861" s="74"/>
      <c r="AN861" s="74"/>
      <c r="AO861" s="74"/>
      <c r="AP861" s="74"/>
      <c r="AQ861" s="74"/>
      <c r="AR861" s="74"/>
      <c r="AS861" s="74"/>
      <c r="AT861" s="74"/>
      <c r="AU861" s="74"/>
      <c r="AV861" s="74"/>
      <c r="AW861" s="74"/>
      <c r="AX861" s="74"/>
      <c r="AY861" s="74"/>
      <c r="AZ861" s="74"/>
    </row>
    <row r="862">
      <c r="A862" s="71"/>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c r="AJ862" s="74"/>
      <c r="AK862" s="74"/>
      <c r="AL862" s="74"/>
      <c r="AM862" s="74"/>
      <c r="AN862" s="74"/>
      <c r="AO862" s="74"/>
      <c r="AP862" s="74"/>
      <c r="AQ862" s="74"/>
      <c r="AR862" s="74"/>
      <c r="AS862" s="74"/>
      <c r="AT862" s="74"/>
      <c r="AU862" s="74"/>
      <c r="AV862" s="74"/>
      <c r="AW862" s="74"/>
      <c r="AX862" s="74"/>
      <c r="AY862" s="74"/>
      <c r="AZ862" s="74"/>
    </row>
    <row r="863">
      <c r="A863" s="71"/>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c r="AJ863" s="74"/>
      <c r="AK863" s="74"/>
      <c r="AL863" s="74"/>
      <c r="AM863" s="74"/>
      <c r="AN863" s="74"/>
      <c r="AO863" s="74"/>
      <c r="AP863" s="74"/>
      <c r="AQ863" s="74"/>
      <c r="AR863" s="74"/>
      <c r="AS863" s="74"/>
      <c r="AT863" s="74"/>
      <c r="AU863" s="74"/>
      <c r="AV863" s="74"/>
      <c r="AW863" s="74"/>
      <c r="AX863" s="74"/>
      <c r="AY863" s="74"/>
      <c r="AZ863" s="74"/>
    </row>
    <row r="864">
      <c r="A864" s="71"/>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c r="AJ864" s="74"/>
      <c r="AK864" s="74"/>
      <c r="AL864" s="74"/>
      <c r="AM864" s="74"/>
      <c r="AN864" s="74"/>
      <c r="AO864" s="74"/>
      <c r="AP864" s="74"/>
      <c r="AQ864" s="74"/>
      <c r="AR864" s="74"/>
      <c r="AS864" s="74"/>
      <c r="AT864" s="74"/>
      <c r="AU864" s="74"/>
      <c r="AV864" s="74"/>
      <c r="AW864" s="74"/>
      <c r="AX864" s="74"/>
      <c r="AY864" s="74"/>
      <c r="AZ864" s="74"/>
    </row>
    <row r="865">
      <c r="A865" s="71"/>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c r="AM865" s="74"/>
      <c r="AN865" s="74"/>
      <c r="AO865" s="74"/>
      <c r="AP865" s="74"/>
      <c r="AQ865" s="74"/>
      <c r="AR865" s="74"/>
      <c r="AS865" s="74"/>
      <c r="AT865" s="74"/>
      <c r="AU865" s="74"/>
      <c r="AV865" s="74"/>
      <c r="AW865" s="74"/>
      <c r="AX865" s="74"/>
      <c r="AY865" s="74"/>
      <c r="AZ865" s="74"/>
    </row>
    <row r="866">
      <c r="A866" s="71"/>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c r="AJ866" s="74"/>
      <c r="AK866" s="74"/>
      <c r="AL866" s="74"/>
      <c r="AM866" s="74"/>
      <c r="AN866" s="74"/>
      <c r="AO866" s="74"/>
      <c r="AP866" s="74"/>
      <c r="AQ866" s="74"/>
      <c r="AR866" s="74"/>
      <c r="AS866" s="74"/>
      <c r="AT866" s="74"/>
      <c r="AU866" s="74"/>
      <c r="AV866" s="74"/>
      <c r="AW866" s="74"/>
      <c r="AX866" s="74"/>
      <c r="AY866" s="74"/>
      <c r="AZ866" s="74"/>
    </row>
    <row r="867">
      <c r="A867" s="71"/>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c r="AJ867" s="74"/>
      <c r="AK867" s="74"/>
      <c r="AL867" s="74"/>
      <c r="AM867" s="74"/>
      <c r="AN867" s="74"/>
      <c r="AO867" s="74"/>
      <c r="AP867" s="74"/>
      <c r="AQ867" s="74"/>
      <c r="AR867" s="74"/>
      <c r="AS867" s="74"/>
      <c r="AT867" s="74"/>
      <c r="AU867" s="74"/>
      <c r="AV867" s="74"/>
      <c r="AW867" s="74"/>
      <c r="AX867" s="74"/>
      <c r="AY867" s="74"/>
      <c r="AZ867" s="74"/>
    </row>
    <row r="868">
      <c r="A868" s="71"/>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c r="AJ868" s="74"/>
      <c r="AK868" s="74"/>
      <c r="AL868" s="74"/>
      <c r="AM868" s="74"/>
      <c r="AN868" s="74"/>
      <c r="AO868" s="74"/>
      <c r="AP868" s="74"/>
      <c r="AQ868" s="74"/>
      <c r="AR868" s="74"/>
      <c r="AS868" s="74"/>
      <c r="AT868" s="74"/>
      <c r="AU868" s="74"/>
      <c r="AV868" s="74"/>
      <c r="AW868" s="74"/>
      <c r="AX868" s="74"/>
      <c r="AY868" s="74"/>
      <c r="AZ868" s="74"/>
    </row>
    <row r="869">
      <c r="A869" s="71"/>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c r="AJ869" s="74"/>
      <c r="AK869" s="74"/>
      <c r="AL869" s="74"/>
      <c r="AM869" s="74"/>
      <c r="AN869" s="74"/>
      <c r="AO869" s="74"/>
      <c r="AP869" s="74"/>
      <c r="AQ869" s="74"/>
      <c r="AR869" s="74"/>
      <c r="AS869" s="74"/>
      <c r="AT869" s="74"/>
      <c r="AU869" s="74"/>
      <c r="AV869" s="74"/>
      <c r="AW869" s="74"/>
      <c r="AX869" s="74"/>
      <c r="AY869" s="74"/>
      <c r="AZ869" s="74"/>
    </row>
    <row r="870">
      <c r="A870" s="71"/>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c r="AJ870" s="74"/>
      <c r="AK870" s="74"/>
      <c r="AL870" s="74"/>
      <c r="AM870" s="74"/>
      <c r="AN870" s="74"/>
      <c r="AO870" s="74"/>
      <c r="AP870" s="74"/>
      <c r="AQ870" s="74"/>
      <c r="AR870" s="74"/>
      <c r="AS870" s="74"/>
      <c r="AT870" s="74"/>
      <c r="AU870" s="74"/>
      <c r="AV870" s="74"/>
      <c r="AW870" s="74"/>
      <c r="AX870" s="74"/>
      <c r="AY870" s="74"/>
      <c r="AZ870" s="74"/>
    </row>
    <row r="871">
      <c r="A871" s="71"/>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c r="AJ871" s="74"/>
      <c r="AK871" s="74"/>
      <c r="AL871" s="74"/>
      <c r="AM871" s="74"/>
      <c r="AN871" s="74"/>
      <c r="AO871" s="74"/>
      <c r="AP871" s="74"/>
      <c r="AQ871" s="74"/>
      <c r="AR871" s="74"/>
      <c r="AS871" s="74"/>
      <c r="AT871" s="74"/>
      <c r="AU871" s="74"/>
      <c r="AV871" s="74"/>
      <c r="AW871" s="74"/>
      <c r="AX871" s="74"/>
      <c r="AY871" s="74"/>
      <c r="AZ871" s="74"/>
    </row>
    <row r="872">
      <c r="A872" s="71"/>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c r="AM872" s="74"/>
      <c r="AN872" s="74"/>
      <c r="AO872" s="74"/>
      <c r="AP872" s="74"/>
      <c r="AQ872" s="74"/>
      <c r="AR872" s="74"/>
      <c r="AS872" s="74"/>
      <c r="AT872" s="74"/>
      <c r="AU872" s="74"/>
      <c r="AV872" s="74"/>
      <c r="AW872" s="74"/>
      <c r="AX872" s="74"/>
      <c r="AY872" s="74"/>
      <c r="AZ872" s="74"/>
    </row>
    <row r="873">
      <c r="A873" s="71"/>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c r="AM873" s="74"/>
      <c r="AN873" s="74"/>
      <c r="AO873" s="74"/>
      <c r="AP873" s="74"/>
      <c r="AQ873" s="74"/>
      <c r="AR873" s="74"/>
      <c r="AS873" s="74"/>
      <c r="AT873" s="74"/>
      <c r="AU873" s="74"/>
      <c r="AV873" s="74"/>
      <c r="AW873" s="74"/>
      <c r="AX873" s="74"/>
      <c r="AY873" s="74"/>
      <c r="AZ873" s="74"/>
    </row>
    <row r="874">
      <c r="A874" s="71"/>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c r="AM874" s="74"/>
      <c r="AN874" s="74"/>
      <c r="AO874" s="74"/>
      <c r="AP874" s="74"/>
      <c r="AQ874" s="74"/>
      <c r="AR874" s="74"/>
      <c r="AS874" s="74"/>
      <c r="AT874" s="74"/>
      <c r="AU874" s="74"/>
      <c r="AV874" s="74"/>
      <c r="AW874" s="74"/>
      <c r="AX874" s="74"/>
      <c r="AY874" s="74"/>
      <c r="AZ874" s="74"/>
    </row>
    <row r="875">
      <c r="A875" s="71"/>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c r="AM875" s="74"/>
      <c r="AN875" s="74"/>
      <c r="AO875" s="74"/>
      <c r="AP875" s="74"/>
      <c r="AQ875" s="74"/>
      <c r="AR875" s="74"/>
      <c r="AS875" s="74"/>
      <c r="AT875" s="74"/>
      <c r="AU875" s="74"/>
      <c r="AV875" s="74"/>
      <c r="AW875" s="74"/>
      <c r="AX875" s="74"/>
      <c r="AY875" s="74"/>
      <c r="AZ875" s="74"/>
    </row>
    <row r="876">
      <c r="A876" s="71"/>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c r="AM876" s="74"/>
      <c r="AN876" s="74"/>
      <c r="AO876" s="74"/>
      <c r="AP876" s="74"/>
      <c r="AQ876" s="74"/>
      <c r="AR876" s="74"/>
      <c r="AS876" s="74"/>
      <c r="AT876" s="74"/>
      <c r="AU876" s="74"/>
      <c r="AV876" s="74"/>
      <c r="AW876" s="74"/>
      <c r="AX876" s="74"/>
      <c r="AY876" s="74"/>
      <c r="AZ876" s="74"/>
    </row>
    <row r="877">
      <c r="A877" s="71"/>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c r="AM877" s="74"/>
      <c r="AN877" s="74"/>
      <c r="AO877" s="74"/>
      <c r="AP877" s="74"/>
      <c r="AQ877" s="74"/>
      <c r="AR877" s="74"/>
      <c r="AS877" s="74"/>
      <c r="AT877" s="74"/>
      <c r="AU877" s="74"/>
      <c r="AV877" s="74"/>
      <c r="AW877" s="74"/>
      <c r="AX877" s="74"/>
      <c r="AY877" s="74"/>
      <c r="AZ877" s="74"/>
    </row>
    <row r="878">
      <c r="A878" s="71"/>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c r="AJ878" s="74"/>
      <c r="AK878" s="74"/>
      <c r="AL878" s="74"/>
      <c r="AM878" s="74"/>
      <c r="AN878" s="74"/>
      <c r="AO878" s="74"/>
      <c r="AP878" s="74"/>
      <c r="AQ878" s="74"/>
      <c r="AR878" s="74"/>
      <c r="AS878" s="74"/>
      <c r="AT878" s="74"/>
      <c r="AU878" s="74"/>
      <c r="AV878" s="74"/>
      <c r="AW878" s="74"/>
      <c r="AX878" s="74"/>
      <c r="AY878" s="74"/>
      <c r="AZ878" s="74"/>
    </row>
    <row r="879">
      <c r="A879" s="71"/>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c r="AJ879" s="74"/>
      <c r="AK879" s="74"/>
      <c r="AL879" s="74"/>
      <c r="AM879" s="74"/>
      <c r="AN879" s="74"/>
      <c r="AO879" s="74"/>
      <c r="AP879" s="74"/>
      <c r="AQ879" s="74"/>
      <c r="AR879" s="74"/>
      <c r="AS879" s="74"/>
      <c r="AT879" s="74"/>
      <c r="AU879" s="74"/>
      <c r="AV879" s="74"/>
      <c r="AW879" s="74"/>
      <c r="AX879" s="74"/>
      <c r="AY879" s="74"/>
      <c r="AZ879" s="74"/>
    </row>
    <row r="880">
      <c r="A880" s="71"/>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c r="AJ880" s="74"/>
      <c r="AK880" s="74"/>
      <c r="AL880" s="74"/>
      <c r="AM880" s="74"/>
      <c r="AN880" s="74"/>
      <c r="AO880" s="74"/>
      <c r="AP880" s="74"/>
      <c r="AQ880" s="74"/>
      <c r="AR880" s="74"/>
      <c r="AS880" s="74"/>
      <c r="AT880" s="74"/>
      <c r="AU880" s="74"/>
      <c r="AV880" s="74"/>
      <c r="AW880" s="74"/>
      <c r="AX880" s="74"/>
      <c r="AY880" s="74"/>
      <c r="AZ880" s="74"/>
    </row>
    <row r="881">
      <c r="A881" s="71"/>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c r="AJ881" s="74"/>
      <c r="AK881" s="74"/>
      <c r="AL881" s="74"/>
      <c r="AM881" s="74"/>
      <c r="AN881" s="74"/>
      <c r="AO881" s="74"/>
      <c r="AP881" s="74"/>
      <c r="AQ881" s="74"/>
      <c r="AR881" s="74"/>
      <c r="AS881" s="74"/>
      <c r="AT881" s="74"/>
      <c r="AU881" s="74"/>
      <c r="AV881" s="74"/>
      <c r="AW881" s="74"/>
      <c r="AX881" s="74"/>
      <c r="AY881" s="74"/>
      <c r="AZ881" s="74"/>
    </row>
    <row r="882">
      <c r="A882" s="71"/>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c r="AJ882" s="74"/>
      <c r="AK882" s="74"/>
      <c r="AL882" s="74"/>
      <c r="AM882" s="74"/>
      <c r="AN882" s="74"/>
      <c r="AO882" s="74"/>
      <c r="AP882" s="74"/>
      <c r="AQ882" s="74"/>
      <c r="AR882" s="74"/>
      <c r="AS882" s="74"/>
      <c r="AT882" s="74"/>
      <c r="AU882" s="74"/>
      <c r="AV882" s="74"/>
      <c r="AW882" s="74"/>
      <c r="AX882" s="74"/>
      <c r="AY882" s="74"/>
      <c r="AZ882" s="74"/>
    </row>
    <row r="883">
      <c r="A883" s="71"/>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c r="AJ883" s="74"/>
      <c r="AK883" s="74"/>
      <c r="AL883" s="74"/>
      <c r="AM883" s="74"/>
      <c r="AN883" s="74"/>
      <c r="AO883" s="74"/>
      <c r="AP883" s="74"/>
      <c r="AQ883" s="74"/>
      <c r="AR883" s="74"/>
      <c r="AS883" s="74"/>
      <c r="AT883" s="74"/>
      <c r="AU883" s="74"/>
      <c r="AV883" s="74"/>
      <c r="AW883" s="74"/>
      <c r="AX883" s="74"/>
      <c r="AY883" s="74"/>
      <c r="AZ883" s="74"/>
    </row>
    <row r="884">
      <c r="A884" s="71"/>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c r="AJ884" s="74"/>
      <c r="AK884" s="74"/>
      <c r="AL884" s="74"/>
      <c r="AM884" s="74"/>
      <c r="AN884" s="74"/>
      <c r="AO884" s="74"/>
      <c r="AP884" s="74"/>
      <c r="AQ884" s="74"/>
      <c r="AR884" s="74"/>
      <c r="AS884" s="74"/>
      <c r="AT884" s="74"/>
      <c r="AU884" s="74"/>
      <c r="AV884" s="74"/>
      <c r="AW884" s="74"/>
      <c r="AX884" s="74"/>
      <c r="AY884" s="74"/>
      <c r="AZ884" s="74"/>
    </row>
    <row r="885">
      <c r="A885" s="71"/>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c r="AJ885" s="74"/>
      <c r="AK885" s="74"/>
      <c r="AL885" s="74"/>
      <c r="AM885" s="74"/>
      <c r="AN885" s="74"/>
      <c r="AO885" s="74"/>
      <c r="AP885" s="74"/>
      <c r="AQ885" s="74"/>
      <c r="AR885" s="74"/>
      <c r="AS885" s="74"/>
      <c r="AT885" s="74"/>
      <c r="AU885" s="74"/>
      <c r="AV885" s="74"/>
      <c r="AW885" s="74"/>
      <c r="AX885" s="74"/>
      <c r="AY885" s="74"/>
      <c r="AZ885" s="74"/>
    </row>
    <row r="886">
      <c r="A886" s="71"/>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c r="AJ886" s="74"/>
      <c r="AK886" s="74"/>
      <c r="AL886" s="74"/>
      <c r="AM886" s="74"/>
      <c r="AN886" s="74"/>
      <c r="AO886" s="74"/>
      <c r="AP886" s="74"/>
      <c r="AQ886" s="74"/>
      <c r="AR886" s="74"/>
      <c r="AS886" s="74"/>
      <c r="AT886" s="74"/>
      <c r="AU886" s="74"/>
      <c r="AV886" s="74"/>
      <c r="AW886" s="74"/>
      <c r="AX886" s="74"/>
      <c r="AY886" s="74"/>
      <c r="AZ886" s="74"/>
    </row>
    <row r="887">
      <c r="A887" s="71"/>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c r="AJ887" s="74"/>
      <c r="AK887" s="74"/>
      <c r="AL887" s="74"/>
      <c r="AM887" s="74"/>
      <c r="AN887" s="74"/>
      <c r="AO887" s="74"/>
      <c r="AP887" s="74"/>
      <c r="AQ887" s="74"/>
      <c r="AR887" s="74"/>
      <c r="AS887" s="74"/>
      <c r="AT887" s="74"/>
      <c r="AU887" s="74"/>
      <c r="AV887" s="74"/>
      <c r="AW887" s="74"/>
      <c r="AX887" s="74"/>
      <c r="AY887" s="74"/>
      <c r="AZ887" s="74"/>
    </row>
    <row r="888">
      <c r="A888" s="71"/>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c r="AJ888" s="74"/>
      <c r="AK888" s="74"/>
      <c r="AL888" s="74"/>
      <c r="AM888" s="74"/>
      <c r="AN888" s="74"/>
      <c r="AO888" s="74"/>
      <c r="AP888" s="74"/>
      <c r="AQ888" s="74"/>
      <c r="AR888" s="74"/>
      <c r="AS888" s="74"/>
      <c r="AT888" s="74"/>
      <c r="AU888" s="74"/>
      <c r="AV888" s="74"/>
      <c r="AW888" s="74"/>
      <c r="AX888" s="74"/>
      <c r="AY888" s="74"/>
      <c r="AZ888" s="74"/>
    </row>
    <row r="889">
      <c r="A889" s="71"/>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c r="AJ889" s="74"/>
      <c r="AK889" s="74"/>
      <c r="AL889" s="74"/>
      <c r="AM889" s="74"/>
      <c r="AN889" s="74"/>
      <c r="AO889" s="74"/>
      <c r="AP889" s="74"/>
      <c r="AQ889" s="74"/>
      <c r="AR889" s="74"/>
      <c r="AS889" s="74"/>
      <c r="AT889" s="74"/>
      <c r="AU889" s="74"/>
      <c r="AV889" s="74"/>
      <c r="AW889" s="74"/>
      <c r="AX889" s="74"/>
      <c r="AY889" s="74"/>
      <c r="AZ889" s="74"/>
    </row>
    <row r="890">
      <c r="A890" s="71"/>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c r="AJ890" s="74"/>
      <c r="AK890" s="74"/>
      <c r="AL890" s="74"/>
      <c r="AM890" s="74"/>
      <c r="AN890" s="74"/>
      <c r="AO890" s="74"/>
      <c r="AP890" s="74"/>
      <c r="AQ890" s="74"/>
      <c r="AR890" s="74"/>
      <c r="AS890" s="74"/>
      <c r="AT890" s="74"/>
      <c r="AU890" s="74"/>
      <c r="AV890" s="74"/>
      <c r="AW890" s="74"/>
      <c r="AX890" s="74"/>
      <c r="AY890" s="74"/>
      <c r="AZ890" s="74"/>
    </row>
    <row r="891">
      <c r="A891" s="71"/>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c r="AJ891" s="74"/>
      <c r="AK891" s="74"/>
      <c r="AL891" s="74"/>
      <c r="AM891" s="74"/>
      <c r="AN891" s="74"/>
      <c r="AO891" s="74"/>
      <c r="AP891" s="74"/>
      <c r="AQ891" s="74"/>
      <c r="AR891" s="74"/>
      <c r="AS891" s="74"/>
      <c r="AT891" s="74"/>
      <c r="AU891" s="74"/>
      <c r="AV891" s="74"/>
      <c r="AW891" s="74"/>
      <c r="AX891" s="74"/>
      <c r="AY891" s="74"/>
      <c r="AZ891" s="74"/>
    </row>
    <row r="892">
      <c r="A892" s="71"/>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c r="AJ892" s="74"/>
      <c r="AK892" s="74"/>
      <c r="AL892" s="74"/>
      <c r="AM892" s="74"/>
      <c r="AN892" s="74"/>
      <c r="AO892" s="74"/>
      <c r="AP892" s="74"/>
      <c r="AQ892" s="74"/>
      <c r="AR892" s="74"/>
      <c r="AS892" s="74"/>
      <c r="AT892" s="74"/>
      <c r="AU892" s="74"/>
      <c r="AV892" s="74"/>
      <c r="AW892" s="74"/>
      <c r="AX892" s="74"/>
      <c r="AY892" s="74"/>
      <c r="AZ892" s="74"/>
    </row>
    <row r="893">
      <c r="A893" s="71"/>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c r="AJ893" s="74"/>
      <c r="AK893" s="74"/>
      <c r="AL893" s="74"/>
      <c r="AM893" s="74"/>
      <c r="AN893" s="74"/>
      <c r="AO893" s="74"/>
      <c r="AP893" s="74"/>
      <c r="AQ893" s="74"/>
      <c r="AR893" s="74"/>
      <c r="AS893" s="74"/>
      <c r="AT893" s="74"/>
      <c r="AU893" s="74"/>
      <c r="AV893" s="74"/>
      <c r="AW893" s="74"/>
      <c r="AX893" s="74"/>
      <c r="AY893" s="74"/>
      <c r="AZ893" s="74"/>
    </row>
    <row r="894">
      <c r="A894" s="71"/>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c r="AJ894" s="74"/>
      <c r="AK894" s="74"/>
      <c r="AL894" s="74"/>
      <c r="AM894" s="74"/>
      <c r="AN894" s="74"/>
      <c r="AO894" s="74"/>
      <c r="AP894" s="74"/>
      <c r="AQ894" s="74"/>
      <c r="AR894" s="74"/>
      <c r="AS894" s="74"/>
      <c r="AT894" s="74"/>
      <c r="AU894" s="74"/>
      <c r="AV894" s="74"/>
      <c r="AW894" s="74"/>
      <c r="AX894" s="74"/>
      <c r="AY894" s="74"/>
      <c r="AZ894" s="74"/>
    </row>
    <row r="895">
      <c r="A895" s="71"/>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c r="AJ895" s="74"/>
      <c r="AK895" s="74"/>
      <c r="AL895" s="74"/>
      <c r="AM895" s="74"/>
      <c r="AN895" s="74"/>
      <c r="AO895" s="74"/>
      <c r="AP895" s="74"/>
      <c r="AQ895" s="74"/>
      <c r="AR895" s="74"/>
      <c r="AS895" s="74"/>
      <c r="AT895" s="74"/>
      <c r="AU895" s="74"/>
      <c r="AV895" s="74"/>
      <c r="AW895" s="74"/>
      <c r="AX895" s="74"/>
      <c r="AY895" s="74"/>
      <c r="AZ895" s="74"/>
    </row>
    <row r="896">
      <c r="A896" s="71"/>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c r="AJ896" s="74"/>
      <c r="AK896" s="74"/>
      <c r="AL896" s="74"/>
      <c r="AM896" s="74"/>
      <c r="AN896" s="74"/>
      <c r="AO896" s="74"/>
      <c r="AP896" s="74"/>
      <c r="AQ896" s="74"/>
      <c r="AR896" s="74"/>
      <c r="AS896" s="74"/>
      <c r="AT896" s="74"/>
      <c r="AU896" s="74"/>
      <c r="AV896" s="74"/>
      <c r="AW896" s="74"/>
      <c r="AX896" s="74"/>
      <c r="AY896" s="74"/>
      <c r="AZ896" s="74"/>
    </row>
    <row r="897">
      <c r="A897" s="71"/>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c r="AM897" s="74"/>
      <c r="AN897" s="74"/>
      <c r="AO897" s="74"/>
      <c r="AP897" s="74"/>
      <c r="AQ897" s="74"/>
      <c r="AR897" s="74"/>
      <c r="AS897" s="74"/>
      <c r="AT897" s="74"/>
      <c r="AU897" s="74"/>
      <c r="AV897" s="74"/>
      <c r="AW897" s="74"/>
      <c r="AX897" s="74"/>
      <c r="AY897" s="74"/>
      <c r="AZ897" s="74"/>
    </row>
    <row r="898">
      <c r="A898" s="71"/>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c r="AJ898" s="74"/>
      <c r="AK898" s="74"/>
      <c r="AL898" s="74"/>
      <c r="AM898" s="74"/>
      <c r="AN898" s="74"/>
      <c r="AO898" s="74"/>
      <c r="AP898" s="74"/>
      <c r="AQ898" s="74"/>
      <c r="AR898" s="74"/>
      <c r="AS898" s="74"/>
      <c r="AT898" s="74"/>
      <c r="AU898" s="74"/>
      <c r="AV898" s="74"/>
      <c r="AW898" s="74"/>
      <c r="AX898" s="74"/>
      <c r="AY898" s="74"/>
      <c r="AZ898" s="74"/>
    </row>
    <row r="899">
      <c r="A899" s="71"/>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c r="AJ899" s="74"/>
      <c r="AK899" s="74"/>
      <c r="AL899" s="74"/>
      <c r="AM899" s="74"/>
      <c r="AN899" s="74"/>
      <c r="AO899" s="74"/>
      <c r="AP899" s="74"/>
      <c r="AQ899" s="74"/>
      <c r="AR899" s="74"/>
      <c r="AS899" s="74"/>
      <c r="AT899" s="74"/>
      <c r="AU899" s="74"/>
      <c r="AV899" s="74"/>
      <c r="AW899" s="74"/>
      <c r="AX899" s="74"/>
      <c r="AY899" s="74"/>
      <c r="AZ899" s="74"/>
    </row>
    <row r="900">
      <c r="A900" s="71"/>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c r="AJ900" s="74"/>
      <c r="AK900" s="74"/>
      <c r="AL900" s="74"/>
      <c r="AM900" s="74"/>
      <c r="AN900" s="74"/>
      <c r="AO900" s="74"/>
      <c r="AP900" s="74"/>
      <c r="AQ900" s="74"/>
      <c r="AR900" s="74"/>
      <c r="AS900" s="74"/>
      <c r="AT900" s="74"/>
      <c r="AU900" s="74"/>
      <c r="AV900" s="74"/>
      <c r="AW900" s="74"/>
      <c r="AX900" s="74"/>
      <c r="AY900" s="74"/>
      <c r="AZ900" s="74"/>
    </row>
    <row r="901">
      <c r="A901" s="71"/>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c r="AJ901" s="74"/>
      <c r="AK901" s="74"/>
      <c r="AL901" s="74"/>
      <c r="AM901" s="74"/>
      <c r="AN901" s="74"/>
      <c r="AO901" s="74"/>
      <c r="AP901" s="74"/>
      <c r="AQ901" s="74"/>
      <c r="AR901" s="74"/>
      <c r="AS901" s="74"/>
      <c r="AT901" s="74"/>
      <c r="AU901" s="74"/>
      <c r="AV901" s="74"/>
      <c r="AW901" s="74"/>
      <c r="AX901" s="74"/>
      <c r="AY901" s="74"/>
      <c r="AZ901" s="74"/>
    </row>
    <row r="902">
      <c r="A902" s="71"/>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c r="AJ902" s="74"/>
      <c r="AK902" s="74"/>
      <c r="AL902" s="74"/>
      <c r="AM902" s="74"/>
      <c r="AN902" s="74"/>
      <c r="AO902" s="74"/>
      <c r="AP902" s="74"/>
      <c r="AQ902" s="74"/>
      <c r="AR902" s="74"/>
      <c r="AS902" s="74"/>
      <c r="AT902" s="74"/>
      <c r="AU902" s="74"/>
      <c r="AV902" s="74"/>
      <c r="AW902" s="74"/>
      <c r="AX902" s="74"/>
      <c r="AY902" s="74"/>
      <c r="AZ902" s="74"/>
    </row>
    <row r="903">
      <c r="A903" s="71"/>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c r="AJ903" s="74"/>
      <c r="AK903" s="74"/>
      <c r="AL903" s="74"/>
      <c r="AM903" s="74"/>
      <c r="AN903" s="74"/>
      <c r="AO903" s="74"/>
      <c r="AP903" s="74"/>
      <c r="AQ903" s="74"/>
      <c r="AR903" s="74"/>
      <c r="AS903" s="74"/>
      <c r="AT903" s="74"/>
      <c r="AU903" s="74"/>
      <c r="AV903" s="74"/>
      <c r="AW903" s="74"/>
      <c r="AX903" s="74"/>
      <c r="AY903" s="74"/>
      <c r="AZ903" s="74"/>
    </row>
    <row r="904">
      <c r="A904" s="71"/>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c r="AJ904" s="74"/>
      <c r="AK904" s="74"/>
      <c r="AL904" s="74"/>
      <c r="AM904" s="74"/>
      <c r="AN904" s="74"/>
      <c r="AO904" s="74"/>
      <c r="AP904" s="74"/>
      <c r="AQ904" s="74"/>
      <c r="AR904" s="74"/>
      <c r="AS904" s="74"/>
      <c r="AT904" s="74"/>
      <c r="AU904" s="74"/>
      <c r="AV904" s="74"/>
      <c r="AW904" s="74"/>
      <c r="AX904" s="74"/>
      <c r="AY904" s="74"/>
      <c r="AZ904" s="74"/>
    </row>
    <row r="905">
      <c r="A905" s="71"/>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c r="AM905" s="74"/>
      <c r="AN905" s="74"/>
      <c r="AO905" s="74"/>
      <c r="AP905" s="74"/>
      <c r="AQ905" s="74"/>
      <c r="AR905" s="74"/>
      <c r="AS905" s="74"/>
      <c r="AT905" s="74"/>
      <c r="AU905" s="74"/>
      <c r="AV905" s="74"/>
      <c r="AW905" s="74"/>
      <c r="AX905" s="74"/>
      <c r="AY905" s="74"/>
      <c r="AZ905" s="74"/>
    </row>
    <row r="906">
      <c r="A906" s="71"/>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c r="AJ906" s="74"/>
      <c r="AK906" s="74"/>
      <c r="AL906" s="74"/>
      <c r="AM906" s="74"/>
      <c r="AN906" s="74"/>
      <c r="AO906" s="74"/>
      <c r="AP906" s="74"/>
      <c r="AQ906" s="74"/>
      <c r="AR906" s="74"/>
      <c r="AS906" s="74"/>
      <c r="AT906" s="74"/>
      <c r="AU906" s="74"/>
      <c r="AV906" s="74"/>
      <c r="AW906" s="74"/>
      <c r="AX906" s="74"/>
      <c r="AY906" s="74"/>
      <c r="AZ906" s="74"/>
    </row>
    <row r="907">
      <c r="A907" s="71"/>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c r="AJ907" s="74"/>
      <c r="AK907" s="74"/>
      <c r="AL907" s="74"/>
      <c r="AM907" s="74"/>
      <c r="AN907" s="74"/>
      <c r="AO907" s="74"/>
      <c r="AP907" s="74"/>
      <c r="AQ907" s="74"/>
      <c r="AR907" s="74"/>
      <c r="AS907" s="74"/>
      <c r="AT907" s="74"/>
      <c r="AU907" s="74"/>
      <c r="AV907" s="74"/>
      <c r="AW907" s="74"/>
      <c r="AX907" s="74"/>
      <c r="AY907" s="74"/>
      <c r="AZ907" s="74"/>
    </row>
    <row r="908">
      <c r="A908" s="71"/>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c r="AJ908" s="74"/>
      <c r="AK908" s="74"/>
      <c r="AL908" s="74"/>
      <c r="AM908" s="74"/>
      <c r="AN908" s="74"/>
      <c r="AO908" s="74"/>
      <c r="AP908" s="74"/>
      <c r="AQ908" s="74"/>
      <c r="AR908" s="74"/>
      <c r="AS908" s="74"/>
      <c r="AT908" s="74"/>
      <c r="AU908" s="74"/>
      <c r="AV908" s="74"/>
      <c r="AW908" s="74"/>
      <c r="AX908" s="74"/>
      <c r="AY908" s="74"/>
      <c r="AZ908" s="74"/>
    </row>
    <row r="909">
      <c r="A909" s="71"/>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c r="AJ909" s="74"/>
      <c r="AK909" s="74"/>
      <c r="AL909" s="74"/>
      <c r="AM909" s="74"/>
      <c r="AN909" s="74"/>
      <c r="AO909" s="74"/>
      <c r="AP909" s="74"/>
      <c r="AQ909" s="74"/>
      <c r="AR909" s="74"/>
      <c r="AS909" s="74"/>
      <c r="AT909" s="74"/>
      <c r="AU909" s="74"/>
      <c r="AV909" s="74"/>
      <c r="AW909" s="74"/>
      <c r="AX909" s="74"/>
      <c r="AY909" s="74"/>
      <c r="AZ909" s="74"/>
    </row>
    <row r="910">
      <c r="A910" s="71"/>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c r="AJ910" s="74"/>
      <c r="AK910" s="74"/>
      <c r="AL910" s="74"/>
      <c r="AM910" s="74"/>
      <c r="AN910" s="74"/>
      <c r="AO910" s="74"/>
      <c r="AP910" s="74"/>
      <c r="AQ910" s="74"/>
      <c r="AR910" s="74"/>
      <c r="AS910" s="74"/>
      <c r="AT910" s="74"/>
      <c r="AU910" s="74"/>
      <c r="AV910" s="74"/>
      <c r="AW910" s="74"/>
      <c r="AX910" s="74"/>
      <c r="AY910" s="74"/>
      <c r="AZ910" s="74"/>
    </row>
    <row r="911">
      <c r="A911" s="71"/>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c r="AJ911" s="74"/>
      <c r="AK911" s="74"/>
      <c r="AL911" s="74"/>
      <c r="AM911" s="74"/>
      <c r="AN911" s="74"/>
      <c r="AO911" s="74"/>
      <c r="AP911" s="74"/>
      <c r="AQ911" s="74"/>
      <c r="AR911" s="74"/>
      <c r="AS911" s="74"/>
      <c r="AT911" s="74"/>
      <c r="AU911" s="74"/>
      <c r="AV911" s="74"/>
      <c r="AW911" s="74"/>
      <c r="AX911" s="74"/>
      <c r="AY911" s="74"/>
      <c r="AZ911" s="74"/>
    </row>
    <row r="912">
      <c r="A912" s="71"/>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c r="AJ912" s="74"/>
      <c r="AK912" s="74"/>
      <c r="AL912" s="74"/>
      <c r="AM912" s="74"/>
      <c r="AN912" s="74"/>
      <c r="AO912" s="74"/>
      <c r="AP912" s="74"/>
      <c r="AQ912" s="74"/>
      <c r="AR912" s="74"/>
      <c r="AS912" s="74"/>
      <c r="AT912" s="74"/>
      <c r="AU912" s="74"/>
      <c r="AV912" s="74"/>
      <c r="AW912" s="74"/>
      <c r="AX912" s="74"/>
      <c r="AY912" s="74"/>
      <c r="AZ912" s="74"/>
    </row>
    <row r="913">
      <c r="A913" s="71"/>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c r="AJ913" s="74"/>
      <c r="AK913" s="74"/>
      <c r="AL913" s="74"/>
      <c r="AM913" s="74"/>
      <c r="AN913" s="74"/>
      <c r="AO913" s="74"/>
      <c r="AP913" s="74"/>
      <c r="AQ913" s="74"/>
      <c r="AR913" s="74"/>
      <c r="AS913" s="74"/>
      <c r="AT913" s="74"/>
      <c r="AU913" s="74"/>
      <c r="AV913" s="74"/>
      <c r="AW913" s="74"/>
      <c r="AX913" s="74"/>
      <c r="AY913" s="74"/>
      <c r="AZ913" s="74"/>
    </row>
    <row r="914">
      <c r="A914" s="71"/>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c r="AJ914" s="74"/>
      <c r="AK914" s="74"/>
      <c r="AL914" s="74"/>
      <c r="AM914" s="74"/>
      <c r="AN914" s="74"/>
      <c r="AO914" s="74"/>
      <c r="AP914" s="74"/>
      <c r="AQ914" s="74"/>
      <c r="AR914" s="74"/>
      <c r="AS914" s="74"/>
      <c r="AT914" s="74"/>
      <c r="AU914" s="74"/>
      <c r="AV914" s="74"/>
      <c r="AW914" s="74"/>
      <c r="AX914" s="74"/>
      <c r="AY914" s="74"/>
      <c r="AZ914" s="74"/>
    </row>
    <row r="915">
      <c r="A915" s="71"/>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c r="AJ915" s="74"/>
      <c r="AK915" s="74"/>
      <c r="AL915" s="74"/>
      <c r="AM915" s="74"/>
      <c r="AN915" s="74"/>
      <c r="AO915" s="74"/>
      <c r="AP915" s="74"/>
      <c r="AQ915" s="74"/>
      <c r="AR915" s="74"/>
      <c r="AS915" s="74"/>
      <c r="AT915" s="74"/>
      <c r="AU915" s="74"/>
      <c r="AV915" s="74"/>
      <c r="AW915" s="74"/>
      <c r="AX915" s="74"/>
      <c r="AY915" s="74"/>
      <c r="AZ915" s="74"/>
    </row>
    <row r="916">
      <c r="A916" s="71"/>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c r="AJ916" s="74"/>
      <c r="AK916" s="74"/>
      <c r="AL916" s="74"/>
      <c r="AM916" s="74"/>
      <c r="AN916" s="74"/>
      <c r="AO916" s="74"/>
      <c r="AP916" s="74"/>
      <c r="AQ916" s="74"/>
      <c r="AR916" s="74"/>
      <c r="AS916" s="74"/>
      <c r="AT916" s="74"/>
      <c r="AU916" s="74"/>
      <c r="AV916" s="74"/>
      <c r="AW916" s="74"/>
      <c r="AX916" s="74"/>
      <c r="AY916" s="74"/>
      <c r="AZ916" s="74"/>
    </row>
    <row r="917">
      <c r="A917" s="71"/>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c r="AJ917" s="74"/>
      <c r="AK917" s="74"/>
      <c r="AL917" s="74"/>
      <c r="AM917" s="74"/>
      <c r="AN917" s="74"/>
      <c r="AO917" s="74"/>
      <c r="AP917" s="74"/>
      <c r="AQ917" s="74"/>
      <c r="AR917" s="74"/>
      <c r="AS917" s="74"/>
      <c r="AT917" s="74"/>
      <c r="AU917" s="74"/>
      <c r="AV917" s="74"/>
      <c r="AW917" s="74"/>
      <c r="AX917" s="74"/>
      <c r="AY917" s="74"/>
      <c r="AZ917" s="74"/>
    </row>
    <row r="918">
      <c r="A918" s="71"/>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c r="AJ918" s="74"/>
      <c r="AK918" s="74"/>
      <c r="AL918" s="74"/>
      <c r="AM918" s="74"/>
      <c r="AN918" s="74"/>
      <c r="AO918" s="74"/>
      <c r="AP918" s="74"/>
      <c r="AQ918" s="74"/>
      <c r="AR918" s="74"/>
      <c r="AS918" s="74"/>
      <c r="AT918" s="74"/>
      <c r="AU918" s="74"/>
      <c r="AV918" s="74"/>
      <c r="AW918" s="74"/>
      <c r="AX918" s="74"/>
      <c r="AY918" s="74"/>
      <c r="AZ918" s="74"/>
    </row>
    <row r="919">
      <c r="A919" s="71"/>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c r="AJ919" s="74"/>
      <c r="AK919" s="74"/>
      <c r="AL919" s="74"/>
      <c r="AM919" s="74"/>
      <c r="AN919" s="74"/>
      <c r="AO919" s="74"/>
      <c r="AP919" s="74"/>
      <c r="AQ919" s="74"/>
      <c r="AR919" s="74"/>
      <c r="AS919" s="74"/>
      <c r="AT919" s="74"/>
      <c r="AU919" s="74"/>
      <c r="AV919" s="74"/>
      <c r="AW919" s="74"/>
      <c r="AX919" s="74"/>
      <c r="AY919" s="74"/>
      <c r="AZ919" s="74"/>
    </row>
    <row r="920">
      <c r="A920" s="71"/>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c r="AJ920" s="74"/>
      <c r="AK920" s="74"/>
      <c r="AL920" s="74"/>
      <c r="AM920" s="74"/>
      <c r="AN920" s="74"/>
      <c r="AO920" s="74"/>
      <c r="AP920" s="74"/>
      <c r="AQ920" s="74"/>
      <c r="AR920" s="74"/>
      <c r="AS920" s="74"/>
      <c r="AT920" s="74"/>
      <c r="AU920" s="74"/>
      <c r="AV920" s="74"/>
      <c r="AW920" s="74"/>
      <c r="AX920" s="74"/>
      <c r="AY920" s="74"/>
      <c r="AZ920" s="74"/>
    </row>
    <row r="921">
      <c r="A921" s="71"/>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c r="AJ921" s="74"/>
      <c r="AK921" s="74"/>
      <c r="AL921" s="74"/>
      <c r="AM921" s="74"/>
      <c r="AN921" s="74"/>
      <c r="AO921" s="74"/>
      <c r="AP921" s="74"/>
      <c r="AQ921" s="74"/>
      <c r="AR921" s="74"/>
      <c r="AS921" s="74"/>
      <c r="AT921" s="74"/>
      <c r="AU921" s="74"/>
      <c r="AV921" s="74"/>
      <c r="AW921" s="74"/>
      <c r="AX921" s="74"/>
      <c r="AY921" s="74"/>
      <c r="AZ921" s="74"/>
    </row>
    <row r="922">
      <c r="A922" s="71"/>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c r="AJ922" s="74"/>
      <c r="AK922" s="74"/>
      <c r="AL922" s="74"/>
      <c r="AM922" s="74"/>
      <c r="AN922" s="74"/>
      <c r="AO922" s="74"/>
      <c r="AP922" s="74"/>
      <c r="AQ922" s="74"/>
      <c r="AR922" s="74"/>
      <c r="AS922" s="74"/>
      <c r="AT922" s="74"/>
      <c r="AU922" s="74"/>
      <c r="AV922" s="74"/>
      <c r="AW922" s="74"/>
      <c r="AX922" s="74"/>
      <c r="AY922" s="74"/>
      <c r="AZ922" s="74"/>
    </row>
    <row r="923">
      <c r="A923" s="71"/>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c r="AJ923" s="74"/>
      <c r="AK923" s="74"/>
      <c r="AL923" s="74"/>
      <c r="AM923" s="74"/>
      <c r="AN923" s="74"/>
      <c r="AO923" s="74"/>
      <c r="AP923" s="74"/>
      <c r="AQ923" s="74"/>
      <c r="AR923" s="74"/>
      <c r="AS923" s="74"/>
      <c r="AT923" s="74"/>
      <c r="AU923" s="74"/>
      <c r="AV923" s="74"/>
      <c r="AW923" s="74"/>
      <c r="AX923" s="74"/>
      <c r="AY923" s="74"/>
      <c r="AZ923" s="74"/>
    </row>
    <row r="924">
      <c r="A924" s="71"/>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c r="AJ924" s="74"/>
      <c r="AK924" s="74"/>
      <c r="AL924" s="74"/>
      <c r="AM924" s="74"/>
      <c r="AN924" s="74"/>
      <c r="AO924" s="74"/>
      <c r="AP924" s="74"/>
      <c r="AQ924" s="74"/>
      <c r="AR924" s="74"/>
      <c r="AS924" s="74"/>
      <c r="AT924" s="74"/>
      <c r="AU924" s="74"/>
      <c r="AV924" s="74"/>
      <c r="AW924" s="74"/>
      <c r="AX924" s="74"/>
      <c r="AY924" s="74"/>
      <c r="AZ924" s="74"/>
    </row>
    <row r="925">
      <c r="A925" s="71"/>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c r="AJ925" s="74"/>
      <c r="AK925" s="74"/>
      <c r="AL925" s="74"/>
      <c r="AM925" s="74"/>
      <c r="AN925" s="74"/>
      <c r="AO925" s="74"/>
      <c r="AP925" s="74"/>
      <c r="AQ925" s="74"/>
      <c r="AR925" s="74"/>
      <c r="AS925" s="74"/>
      <c r="AT925" s="74"/>
      <c r="AU925" s="74"/>
      <c r="AV925" s="74"/>
      <c r="AW925" s="74"/>
      <c r="AX925" s="74"/>
      <c r="AY925" s="74"/>
      <c r="AZ925" s="74"/>
    </row>
    <row r="926">
      <c r="A926" s="71"/>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c r="AJ926" s="74"/>
      <c r="AK926" s="74"/>
      <c r="AL926" s="74"/>
      <c r="AM926" s="74"/>
      <c r="AN926" s="74"/>
      <c r="AO926" s="74"/>
      <c r="AP926" s="74"/>
      <c r="AQ926" s="74"/>
      <c r="AR926" s="74"/>
      <c r="AS926" s="74"/>
      <c r="AT926" s="74"/>
      <c r="AU926" s="74"/>
      <c r="AV926" s="74"/>
      <c r="AW926" s="74"/>
      <c r="AX926" s="74"/>
      <c r="AY926" s="74"/>
      <c r="AZ926" s="74"/>
    </row>
    <row r="927">
      <c r="A927" s="71"/>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c r="AJ927" s="74"/>
      <c r="AK927" s="74"/>
      <c r="AL927" s="74"/>
      <c r="AM927" s="74"/>
      <c r="AN927" s="74"/>
      <c r="AO927" s="74"/>
      <c r="AP927" s="74"/>
      <c r="AQ927" s="74"/>
      <c r="AR927" s="74"/>
      <c r="AS927" s="74"/>
      <c r="AT927" s="74"/>
      <c r="AU927" s="74"/>
      <c r="AV927" s="74"/>
      <c r="AW927" s="74"/>
      <c r="AX927" s="74"/>
      <c r="AY927" s="74"/>
      <c r="AZ927" s="74"/>
    </row>
    <row r="928">
      <c r="A928" s="71"/>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c r="AJ928" s="74"/>
      <c r="AK928" s="74"/>
      <c r="AL928" s="74"/>
      <c r="AM928" s="74"/>
      <c r="AN928" s="74"/>
      <c r="AO928" s="74"/>
      <c r="AP928" s="74"/>
      <c r="AQ928" s="74"/>
      <c r="AR928" s="74"/>
      <c r="AS928" s="74"/>
      <c r="AT928" s="74"/>
      <c r="AU928" s="74"/>
      <c r="AV928" s="74"/>
      <c r="AW928" s="74"/>
      <c r="AX928" s="74"/>
      <c r="AY928" s="74"/>
      <c r="AZ928" s="74"/>
    </row>
    <row r="929">
      <c r="A929" s="71"/>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c r="AJ929" s="74"/>
      <c r="AK929" s="74"/>
      <c r="AL929" s="74"/>
      <c r="AM929" s="74"/>
      <c r="AN929" s="74"/>
      <c r="AO929" s="74"/>
      <c r="AP929" s="74"/>
      <c r="AQ929" s="74"/>
      <c r="AR929" s="74"/>
      <c r="AS929" s="74"/>
      <c r="AT929" s="74"/>
      <c r="AU929" s="74"/>
      <c r="AV929" s="74"/>
      <c r="AW929" s="74"/>
      <c r="AX929" s="74"/>
      <c r="AY929" s="74"/>
      <c r="AZ929" s="74"/>
    </row>
    <row r="930">
      <c r="A930" s="71"/>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c r="AJ930" s="74"/>
      <c r="AK930" s="74"/>
      <c r="AL930" s="74"/>
      <c r="AM930" s="74"/>
      <c r="AN930" s="74"/>
      <c r="AO930" s="74"/>
      <c r="AP930" s="74"/>
      <c r="AQ930" s="74"/>
      <c r="AR930" s="74"/>
      <c r="AS930" s="74"/>
      <c r="AT930" s="74"/>
      <c r="AU930" s="74"/>
      <c r="AV930" s="74"/>
      <c r="AW930" s="74"/>
      <c r="AX930" s="74"/>
      <c r="AY930" s="74"/>
      <c r="AZ930" s="74"/>
    </row>
    <row r="931">
      <c r="A931" s="71"/>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c r="AJ931" s="74"/>
      <c r="AK931" s="74"/>
      <c r="AL931" s="74"/>
      <c r="AM931" s="74"/>
      <c r="AN931" s="74"/>
      <c r="AO931" s="74"/>
      <c r="AP931" s="74"/>
      <c r="AQ931" s="74"/>
      <c r="AR931" s="74"/>
      <c r="AS931" s="74"/>
      <c r="AT931" s="74"/>
      <c r="AU931" s="74"/>
      <c r="AV931" s="74"/>
      <c r="AW931" s="74"/>
      <c r="AX931" s="74"/>
      <c r="AY931" s="74"/>
      <c r="AZ931" s="74"/>
    </row>
    <row r="932">
      <c r="A932" s="71"/>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c r="AJ932" s="74"/>
      <c r="AK932" s="74"/>
      <c r="AL932" s="74"/>
      <c r="AM932" s="74"/>
      <c r="AN932" s="74"/>
      <c r="AO932" s="74"/>
      <c r="AP932" s="74"/>
      <c r="AQ932" s="74"/>
      <c r="AR932" s="74"/>
      <c r="AS932" s="74"/>
      <c r="AT932" s="74"/>
      <c r="AU932" s="74"/>
      <c r="AV932" s="74"/>
      <c r="AW932" s="74"/>
      <c r="AX932" s="74"/>
      <c r="AY932" s="74"/>
      <c r="AZ932" s="74"/>
    </row>
    <row r="933">
      <c r="A933" s="71"/>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c r="AJ933" s="74"/>
      <c r="AK933" s="74"/>
      <c r="AL933" s="74"/>
      <c r="AM933" s="74"/>
      <c r="AN933" s="74"/>
      <c r="AO933" s="74"/>
      <c r="AP933" s="74"/>
      <c r="AQ933" s="74"/>
      <c r="AR933" s="74"/>
      <c r="AS933" s="74"/>
      <c r="AT933" s="74"/>
      <c r="AU933" s="74"/>
      <c r="AV933" s="74"/>
      <c r="AW933" s="74"/>
      <c r="AX933" s="74"/>
      <c r="AY933" s="74"/>
      <c r="AZ933" s="74"/>
    </row>
    <row r="934">
      <c r="A934" s="71"/>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c r="AJ934" s="74"/>
      <c r="AK934" s="74"/>
      <c r="AL934" s="74"/>
      <c r="AM934" s="74"/>
      <c r="AN934" s="74"/>
      <c r="AO934" s="74"/>
      <c r="AP934" s="74"/>
      <c r="AQ934" s="74"/>
      <c r="AR934" s="74"/>
      <c r="AS934" s="74"/>
      <c r="AT934" s="74"/>
      <c r="AU934" s="74"/>
      <c r="AV934" s="74"/>
      <c r="AW934" s="74"/>
      <c r="AX934" s="74"/>
      <c r="AY934" s="74"/>
      <c r="AZ934" s="74"/>
    </row>
    <row r="935">
      <c r="A935" s="71"/>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c r="AJ935" s="74"/>
      <c r="AK935" s="74"/>
      <c r="AL935" s="74"/>
      <c r="AM935" s="74"/>
      <c r="AN935" s="74"/>
      <c r="AO935" s="74"/>
      <c r="AP935" s="74"/>
      <c r="AQ935" s="74"/>
      <c r="AR935" s="74"/>
      <c r="AS935" s="74"/>
      <c r="AT935" s="74"/>
      <c r="AU935" s="74"/>
      <c r="AV935" s="74"/>
      <c r="AW935" s="74"/>
      <c r="AX935" s="74"/>
      <c r="AY935" s="74"/>
      <c r="AZ935" s="74"/>
    </row>
    <row r="936">
      <c r="A936" s="71"/>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c r="AJ936" s="74"/>
      <c r="AK936" s="74"/>
      <c r="AL936" s="74"/>
      <c r="AM936" s="74"/>
      <c r="AN936" s="74"/>
      <c r="AO936" s="74"/>
      <c r="AP936" s="74"/>
      <c r="AQ936" s="74"/>
      <c r="AR936" s="74"/>
      <c r="AS936" s="74"/>
      <c r="AT936" s="74"/>
      <c r="AU936" s="74"/>
      <c r="AV936" s="74"/>
      <c r="AW936" s="74"/>
      <c r="AX936" s="74"/>
      <c r="AY936" s="74"/>
      <c r="AZ936" s="74"/>
    </row>
    <row r="937">
      <c r="A937" s="71"/>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c r="AJ937" s="74"/>
      <c r="AK937" s="74"/>
      <c r="AL937" s="74"/>
      <c r="AM937" s="74"/>
      <c r="AN937" s="74"/>
      <c r="AO937" s="74"/>
      <c r="AP937" s="74"/>
      <c r="AQ937" s="74"/>
      <c r="AR937" s="74"/>
      <c r="AS937" s="74"/>
      <c r="AT937" s="74"/>
      <c r="AU937" s="74"/>
      <c r="AV937" s="74"/>
      <c r="AW937" s="74"/>
      <c r="AX937" s="74"/>
      <c r="AY937" s="74"/>
      <c r="AZ937" s="74"/>
    </row>
    <row r="938">
      <c r="A938" s="71"/>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c r="AJ938" s="74"/>
      <c r="AK938" s="74"/>
      <c r="AL938" s="74"/>
      <c r="AM938" s="74"/>
      <c r="AN938" s="74"/>
      <c r="AO938" s="74"/>
      <c r="AP938" s="74"/>
      <c r="AQ938" s="74"/>
      <c r="AR938" s="74"/>
      <c r="AS938" s="74"/>
      <c r="AT938" s="74"/>
      <c r="AU938" s="74"/>
      <c r="AV938" s="74"/>
      <c r="AW938" s="74"/>
      <c r="AX938" s="74"/>
      <c r="AY938" s="74"/>
      <c r="AZ938" s="74"/>
    </row>
    <row r="939">
      <c r="A939" s="71"/>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c r="AJ939" s="74"/>
      <c r="AK939" s="74"/>
      <c r="AL939" s="74"/>
      <c r="AM939" s="74"/>
      <c r="AN939" s="74"/>
      <c r="AO939" s="74"/>
      <c r="AP939" s="74"/>
      <c r="AQ939" s="74"/>
      <c r="AR939" s="74"/>
      <c r="AS939" s="74"/>
      <c r="AT939" s="74"/>
      <c r="AU939" s="74"/>
      <c r="AV939" s="74"/>
      <c r="AW939" s="74"/>
      <c r="AX939" s="74"/>
      <c r="AY939" s="74"/>
      <c r="AZ939" s="74"/>
    </row>
    <row r="940">
      <c r="A940" s="71"/>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c r="AJ940" s="74"/>
      <c r="AK940" s="74"/>
      <c r="AL940" s="74"/>
      <c r="AM940" s="74"/>
      <c r="AN940" s="74"/>
      <c r="AO940" s="74"/>
      <c r="AP940" s="74"/>
      <c r="AQ940" s="74"/>
      <c r="AR940" s="74"/>
      <c r="AS940" s="74"/>
      <c r="AT940" s="74"/>
      <c r="AU940" s="74"/>
      <c r="AV940" s="74"/>
      <c r="AW940" s="74"/>
      <c r="AX940" s="74"/>
      <c r="AY940" s="74"/>
      <c r="AZ940" s="74"/>
    </row>
    <row r="941">
      <c r="A941" s="71"/>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c r="AJ941" s="74"/>
      <c r="AK941" s="74"/>
      <c r="AL941" s="74"/>
      <c r="AM941" s="74"/>
      <c r="AN941" s="74"/>
      <c r="AO941" s="74"/>
      <c r="AP941" s="74"/>
      <c r="AQ941" s="74"/>
      <c r="AR941" s="74"/>
      <c r="AS941" s="74"/>
      <c r="AT941" s="74"/>
      <c r="AU941" s="74"/>
      <c r="AV941" s="74"/>
      <c r="AW941" s="74"/>
      <c r="AX941" s="74"/>
      <c r="AY941" s="74"/>
      <c r="AZ941" s="74"/>
    </row>
    <row r="942">
      <c r="A942" s="71"/>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c r="AJ942" s="74"/>
      <c r="AK942" s="74"/>
      <c r="AL942" s="74"/>
      <c r="AM942" s="74"/>
      <c r="AN942" s="74"/>
      <c r="AO942" s="74"/>
      <c r="AP942" s="74"/>
      <c r="AQ942" s="74"/>
      <c r="AR942" s="74"/>
      <c r="AS942" s="74"/>
      <c r="AT942" s="74"/>
      <c r="AU942" s="74"/>
      <c r="AV942" s="74"/>
      <c r="AW942" s="74"/>
      <c r="AX942" s="74"/>
      <c r="AY942" s="74"/>
      <c r="AZ942" s="74"/>
    </row>
    <row r="943">
      <c r="A943" s="71"/>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c r="AJ943" s="74"/>
      <c r="AK943" s="74"/>
      <c r="AL943" s="74"/>
      <c r="AM943" s="74"/>
      <c r="AN943" s="74"/>
      <c r="AO943" s="74"/>
      <c r="AP943" s="74"/>
      <c r="AQ943" s="74"/>
      <c r="AR943" s="74"/>
      <c r="AS943" s="74"/>
      <c r="AT943" s="74"/>
      <c r="AU943" s="74"/>
      <c r="AV943" s="74"/>
      <c r="AW943" s="74"/>
      <c r="AX943" s="74"/>
      <c r="AY943" s="74"/>
      <c r="AZ943" s="74"/>
    </row>
    <row r="944">
      <c r="A944" s="71"/>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c r="AJ944" s="74"/>
      <c r="AK944" s="74"/>
      <c r="AL944" s="74"/>
      <c r="AM944" s="74"/>
      <c r="AN944" s="74"/>
      <c r="AO944" s="74"/>
      <c r="AP944" s="74"/>
      <c r="AQ944" s="74"/>
      <c r="AR944" s="74"/>
      <c r="AS944" s="74"/>
      <c r="AT944" s="74"/>
      <c r="AU944" s="74"/>
      <c r="AV944" s="74"/>
      <c r="AW944" s="74"/>
      <c r="AX944" s="74"/>
      <c r="AY944" s="74"/>
      <c r="AZ944" s="74"/>
    </row>
    <row r="945">
      <c r="A945" s="71"/>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c r="AJ945" s="74"/>
      <c r="AK945" s="74"/>
      <c r="AL945" s="74"/>
      <c r="AM945" s="74"/>
      <c r="AN945" s="74"/>
      <c r="AO945" s="74"/>
      <c r="AP945" s="74"/>
      <c r="AQ945" s="74"/>
      <c r="AR945" s="74"/>
      <c r="AS945" s="74"/>
      <c r="AT945" s="74"/>
      <c r="AU945" s="74"/>
      <c r="AV945" s="74"/>
      <c r="AW945" s="74"/>
      <c r="AX945" s="74"/>
      <c r="AY945" s="74"/>
      <c r="AZ945" s="74"/>
    </row>
    <row r="946">
      <c r="A946" s="71"/>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c r="AJ946" s="74"/>
      <c r="AK946" s="74"/>
      <c r="AL946" s="74"/>
      <c r="AM946" s="74"/>
      <c r="AN946" s="74"/>
      <c r="AO946" s="74"/>
      <c r="AP946" s="74"/>
      <c r="AQ946" s="74"/>
      <c r="AR946" s="74"/>
      <c r="AS946" s="74"/>
      <c r="AT946" s="74"/>
      <c r="AU946" s="74"/>
      <c r="AV946" s="74"/>
      <c r="AW946" s="74"/>
      <c r="AX946" s="74"/>
      <c r="AY946" s="74"/>
      <c r="AZ946" s="74"/>
    </row>
    <row r="947">
      <c r="A947" s="71"/>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c r="AJ947" s="74"/>
      <c r="AK947" s="74"/>
      <c r="AL947" s="74"/>
      <c r="AM947" s="74"/>
      <c r="AN947" s="74"/>
      <c r="AO947" s="74"/>
      <c r="AP947" s="74"/>
      <c r="AQ947" s="74"/>
      <c r="AR947" s="74"/>
      <c r="AS947" s="74"/>
      <c r="AT947" s="74"/>
      <c r="AU947" s="74"/>
      <c r="AV947" s="74"/>
      <c r="AW947" s="74"/>
      <c r="AX947" s="74"/>
      <c r="AY947" s="74"/>
      <c r="AZ947" s="74"/>
    </row>
    <row r="948">
      <c r="A948" s="71"/>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c r="AJ948" s="74"/>
      <c r="AK948" s="74"/>
      <c r="AL948" s="74"/>
      <c r="AM948" s="74"/>
      <c r="AN948" s="74"/>
      <c r="AO948" s="74"/>
      <c r="AP948" s="74"/>
      <c r="AQ948" s="74"/>
      <c r="AR948" s="74"/>
      <c r="AS948" s="74"/>
      <c r="AT948" s="74"/>
      <c r="AU948" s="74"/>
      <c r="AV948" s="74"/>
      <c r="AW948" s="74"/>
      <c r="AX948" s="74"/>
      <c r="AY948" s="74"/>
      <c r="AZ948" s="74"/>
    </row>
    <row r="949">
      <c r="A949" s="71"/>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c r="AJ949" s="74"/>
      <c r="AK949" s="74"/>
      <c r="AL949" s="74"/>
      <c r="AM949" s="74"/>
      <c r="AN949" s="74"/>
      <c r="AO949" s="74"/>
      <c r="AP949" s="74"/>
      <c r="AQ949" s="74"/>
      <c r="AR949" s="74"/>
      <c r="AS949" s="74"/>
      <c r="AT949" s="74"/>
      <c r="AU949" s="74"/>
      <c r="AV949" s="74"/>
      <c r="AW949" s="74"/>
      <c r="AX949" s="74"/>
      <c r="AY949" s="74"/>
      <c r="AZ949" s="74"/>
    </row>
    <row r="950">
      <c r="A950" s="71"/>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c r="AJ950" s="74"/>
      <c r="AK950" s="74"/>
      <c r="AL950" s="74"/>
      <c r="AM950" s="74"/>
      <c r="AN950" s="74"/>
      <c r="AO950" s="74"/>
      <c r="AP950" s="74"/>
      <c r="AQ950" s="74"/>
      <c r="AR950" s="74"/>
      <c r="AS950" s="74"/>
      <c r="AT950" s="74"/>
      <c r="AU950" s="74"/>
      <c r="AV950" s="74"/>
      <c r="AW950" s="74"/>
      <c r="AX950" s="74"/>
      <c r="AY950" s="74"/>
      <c r="AZ950" s="74"/>
    </row>
    <row r="951">
      <c r="A951" s="71"/>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c r="AJ951" s="74"/>
      <c r="AK951" s="74"/>
      <c r="AL951" s="74"/>
      <c r="AM951" s="74"/>
      <c r="AN951" s="74"/>
      <c r="AO951" s="74"/>
      <c r="AP951" s="74"/>
      <c r="AQ951" s="74"/>
      <c r="AR951" s="74"/>
      <c r="AS951" s="74"/>
      <c r="AT951" s="74"/>
      <c r="AU951" s="74"/>
      <c r="AV951" s="74"/>
      <c r="AW951" s="74"/>
      <c r="AX951" s="74"/>
      <c r="AY951" s="74"/>
      <c r="AZ951" s="74"/>
    </row>
    <row r="952">
      <c r="A952" s="71"/>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c r="AJ952" s="74"/>
      <c r="AK952" s="74"/>
      <c r="AL952" s="74"/>
      <c r="AM952" s="74"/>
      <c r="AN952" s="74"/>
      <c r="AO952" s="74"/>
      <c r="AP952" s="74"/>
      <c r="AQ952" s="74"/>
      <c r="AR952" s="74"/>
      <c r="AS952" s="74"/>
      <c r="AT952" s="74"/>
      <c r="AU952" s="74"/>
      <c r="AV952" s="74"/>
      <c r="AW952" s="74"/>
      <c r="AX952" s="74"/>
      <c r="AY952" s="74"/>
      <c r="AZ952" s="74"/>
    </row>
    <row r="953">
      <c r="A953" s="71"/>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c r="AJ953" s="74"/>
      <c r="AK953" s="74"/>
      <c r="AL953" s="74"/>
      <c r="AM953" s="74"/>
      <c r="AN953" s="74"/>
      <c r="AO953" s="74"/>
      <c r="AP953" s="74"/>
      <c r="AQ953" s="74"/>
      <c r="AR953" s="74"/>
      <c r="AS953" s="74"/>
      <c r="AT953" s="74"/>
      <c r="AU953" s="74"/>
      <c r="AV953" s="74"/>
      <c r="AW953" s="74"/>
      <c r="AX953" s="74"/>
      <c r="AY953" s="74"/>
      <c r="AZ953" s="74"/>
    </row>
    <row r="954">
      <c r="A954" s="71"/>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c r="AJ954" s="74"/>
      <c r="AK954" s="74"/>
      <c r="AL954" s="74"/>
      <c r="AM954" s="74"/>
      <c r="AN954" s="74"/>
      <c r="AO954" s="74"/>
      <c r="AP954" s="74"/>
      <c r="AQ954" s="74"/>
      <c r="AR954" s="74"/>
      <c r="AS954" s="74"/>
      <c r="AT954" s="74"/>
      <c r="AU954" s="74"/>
      <c r="AV954" s="74"/>
      <c r="AW954" s="74"/>
      <c r="AX954" s="74"/>
      <c r="AY954" s="74"/>
      <c r="AZ954" s="74"/>
    </row>
    <row r="955">
      <c r="A955" s="71"/>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c r="AJ955" s="74"/>
      <c r="AK955" s="74"/>
      <c r="AL955" s="74"/>
      <c r="AM955" s="74"/>
      <c r="AN955" s="74"/>
      <c r="AO955" s="74"/>
      <c r="AP955" s="74"/>
      <c r="AQ955" s="74"/>
      <c r="AR955" s="74"/>
      <c r="AS955" s="74"/>
      <c r="AT955" s="74"/>
      <c r="AU955" s="74"/>
      <c r="AV955" s="74"/>
      <c r="AW955" s="74"/>
      <c r="AX955" s="74"/>
      <c r="AY955" s="74"/>
      <c r="AZ955" s="74"/>
    </row>
    <row r="956">
      <c r="A956" s="71"/>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c r="AJ956" s="74"/>
      <c r="AK956" s="74"/>
      <c r="AL956" s="74"/>
      <c r="AM956" s="74"/>
      <c r="AN956" s="74"/>
      <c r="AO956" s="74"/>
      <c r="AP956" s="74"/>
      <c r="AQ956" s="74"/>
      <c r="AR956" s="74"/>
      <c r="AS956" s="74"/>
      <c r="AT956" s="74"/>
      <c r="AU956" s="74"/>
      <c r="AV956" s="74"/>
      <c r="AW956" s="74"/>
      <c r="AX956" s="74"/>
      <c r="AY956" s="74"/>
      <c r="AZ956" s="74"/>
    </row>
    <row r="957">
      <c r="A957" s="71"/>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c r="AJ957" s="74"/>
      <c r="AK957" s="74"/>
      <c r="AL957" s="74"/>
      <c r="AM957" s="74"/>
      <c r="AN957" s="74"/>
      <c r="AO957" s="74"/>
      <c r="AP957" s="74"/>
      <c r="AQ957" s="74"/>
      <c r="AR957" s="74"/>
      <c r="AS957" s="74"/>
      <c r="AT957" s="74"/>
      <c r="AU957" s="74"/>
      <c r="AV957" s="74"/>
      <c r="AW957" s="74"/>
      <c r="AX957" s="74"/>
      <c r="AY957" s="74"/>
      <c r="AZ957" s="74"/>
    </row>
    <row r="958">
      <c r="A958" s="71"/>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c r="AJ958" s="74"/>
      <c r="AK958" s="74"/>
      <c r="AL958" s="74"/>
      <c r="AM958" s="74"/>
      <c r="AN958" s="74"/>
      <c r="AO958" s="74"/>
      <c r="AP958" s="74"/>
      <c r="AQ958" s="74"/>
      <c r="AR958" s="74"/>
      <c r="AS958" s="74"/>
      <c r="AT958" s="74"/>
      <c r="AU958" s="74"/>
      <c r="AV958" s="74"/>
      <c r="AW958" s="74"/>
      <c r="AX958" s="74"/>
      <c r="AY958" s="74"/>
      <c r="AZ958" s="74"/>
    </row>
    <row r="959">
      <c r="A959" s="71"/>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c r="AJ959" s="74"/>
      <c r="AK959" s="74"/>
      <c r="AL959" s="74"/>
      <c r="AM959" s="74"/>
      <c r="AN959" s="74"/>
      <c r="AO959" s="74"/>
      <c r="AP959" s="74"/>
      <c r="AQ959" s="74"/>
      <c r="AR959" s="74"/>
      <c r="AS959" s="74"/>
      <c r="AT959" s="74"/>
      <c r="AU959" s="74"/>
      <c r="AV959" s="74"/>
      <c r="AW959" s="74"/>
      <c r="AX959" s="74"/>
      <c r="AY959" s="74"/>
      <c r="AZ959" s="74"/>
    </row>
    <row r="960">
      <c r="A960" s="71"/>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c r="AJ960" s="74"/>
      <c r="AK960" s="74"/>
      <c r="AL960" s="74"/>
      <c r="AM960" s="74"/>
      <c r="AN960" s="74"/>
      <c r="AO960" s="74"/>
      <c r="AP960" s="74"/>
      <c r="AQ960" s="74"/>
      <c r="AR960" s="74"/>
      <c r="AS960" s="74"/>
      <c r="AT960" s="74"/>
      <c r="AU960" s="74"/>
      <c r="AV960" s="74"/>
      <c r="AW960" s="74"/>
      <c r="AX960" s="74"/>
      <c r="AY960" s="74"/>
      <c r="AZ960" s="74"/>
    </row>
    <row r="961">
      <c r="A961" s="71"/>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c r="AJ961" s="74"/>
      <c r="AK961" s="74"/>
      <c r="AL961" s="74"/>
      <c r="AM961" s="74"/>
      <c r="AN961" s="74"/>
      <c r="AO961" s="74"/>
      <c r="AP961" s="74"/>
      <c r="AQ961" s="74"/>
      <c r="AR961" s="74"/>
      <c r="AS961" s="74"/>
      <c r="AT961" s="74"/>
      <c r="AU961" s="74"/>
      <c r="AV961" s="74"/>
      <c r="AW961" s="74"/>
      <c r="AX961" s="74"/>
      <c r="AY961" s="74"/>
      <c r="AZ961" s="74"/>
    </row>
    <row r="962">
      <c r="A962" s="71"/>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c r="AJ962" s="74"/>
      <c r="AK962" s="74"/>
      <c r="AL962" s="74"/>
      <c r="AM962" s="74"/>
      <c r="AN962" s="74"/>
      <c r="AO962" s="74"/>
      <c r="AP962" s="74"/>
      <c r="AQ962" s="74"/>
      <c r="AR962" s="74"/>
      <c r="AS962" s="74"/>
      <c r="AT962" s="74"/>
      <c r="AU962" s="74"/>
      <c r="AV962" s="74"/>
      <c r="AW962" s="74"/>
      <c r="AX962" s="74"/>
      <c r="AY962" s="74"/>
      <c r="AZ962" s="74"/>
    </row>
    <row r="963">
      <c r="A963" s="71"/>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c r="AJ963" s="74"/>
      <c r="AK963" s="74"/>
      <c r="AL963" s="74"/>
      <c r="AM963" s="74"/>
      <c r="AN963" s="74"/>
      <c r="AO963" s="74"/>
      <c r="AP963" s="74"/>
      <c r="AQ963" s="74"/>
      <c r="AR963" s="74"/>
      <c r="AS963" s="74"/>
      <c r="AT963" s="74"/>
      <c r="AU963" s="74"/>
      <c r="AV963" s="74"/>
      <c r="AW963" s="74"/>
      <c r="AX963" s="74"/>
      <c r="AY963" s="74"/>
      <c r="AZ963" s="74"/>
    </row>
    <row r="964">
      <c r="A964" s="71"/>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c r="AJ964" s="74"/>
      <c r="AK964" s="74"/>
      <c r="AL964" s="74"/>
      <c r="AM964" s="74"/>
      <c r="AN964" s="74"/>
      <c r="AO964" s="74"/>
      <c r="AP964" s="74"/>
      <c r="AQ964" s="74"/>
      <c r="AR964" s="74"/>
      <c r="AS964" s="74"/>
      <c r="AT964" s="74"/>
      <c r="AU964" s="74"/>
      <c r="AV964" s="74"/>
      <c r="AW964" s="74"/>
      <c r="AX964" s="74"/>
      <c r="AY964" s="74"/>
      <c r="AZ964" s="74"/>
    </row>
    <row r="965">
      <c r="A965" s="71"/>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c r="AJ965" s="74"/>
      <c r="AK965" s="74"/>
      <c r="AL965" s="74"/>
      <c r="AM965" s="74"/>
      <c r="AN965" s="74"/>
      <c r="AO965" s="74"/>
      <c r="AP965" s="74"/>
      <c r="AQ965" s="74"/>
      <c r="AR965" s="74"/>
      <c r="AS965" s="74"/>
      <c r="AT965" s="74"/>
      <c r="AU965" s="74"/>
      <c r="AV965" s="74"/>
      <c r="AW965" s="74"/>
      <c r="AX965" s="74"/>
      <c r="AY965" s="74"/>
      <c r="AZ965" s="74"/>
    </row>
    <row r="966">
      <c r="A966" s="71"/>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c r="AJ966" s="74"/>
      <c r="AK966" s="74"/>
      <c r="AL966" s="74"/>
      <c r="AM966" s="74"/>
      <c r="AN966" s="74"/>
      <c r="AO966" s="74"/>
      <c r="AP966" s="74"/>
      <c r="AQ966" s="74"/>
      <c r="AR966" s="74"/>
      <c r="AS966" s="74"/>
      <c r="AT966" s="74"/>
      <c r="AU966" s="74"/>
      <c r="AV966" s="74"/>
      <c r="AW966" s="74"/>
      <c r="AX966" s="74"/>
      <c r="AY966" s="74"/>
      <c r="AZ966" s="74"/>
    </row>
    <row r="967">
      <c r="A967" s="71"/>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c r="AJ967" s="74"/>
      <c r="AK967" s="74"/>
      <c r="AL967" s="74"/>
      <c r="AM967" s="74"/>
      <c r="AN967" s="74"/>
      <c r="AO967" s="74"/>
      <c r="AP967" s="74"/>
      <c r="AQ967" s="74"/>
      <c r="AR967" s="74"/>
      <c r="AS967" s="74"/>
      <c r="AT967" s="74"/>
      <c r="AU967" s="74"/>
      <c r="AV967" s="74"/>
      <c r="AW967" s="74"/>
      <c r="AX967" s="74"/>
      <c r="AY967" s="74"/>
      <c r="AZ967" s="74"/>
    </row>
    <row r="968">
      <c r="A968" s="71"/>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c r="AJ968" s="74"/>
      <c r="AK968" s="74"/>
      <c r="AL968" s="74"/>
      <c r="AM968" s="74"/>
      <c r="AN968" s="74"/>
      <c r="AO968" s="74"/>
      <c r="AP968" s="74"/>
      <c r="AQ968" s="74"/>
      <c r="AR968" s="74"/>
      <c r="AS968" s="74"/>
      <c r="AT968" s="74"/>
      <c r="AU968" s="74"/>
      <c r="AV968" s="74"/>
      <c r="AW968" s="74"/>
      <c r="AX968" s="74"/>
      <c r="AY968" s="74"/>
      <c r="AZ968" s="74"/>
    </row>
    <row r="969">
      <c r="A969" s="71"/>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c r="AJ969" s="74"/>
      <c r="AK969" s="74"/>
      <c r="AL969" s="74"/>
      <c r="AM969" s="74"/>
      <c r="AN969" s="74"/>
      <c r="AO969" s="74"/>
      <c r="AP969" s="74"/>
      <c r="AQ969" s="74"/>
      <c r="AR969" s="74"/>
      <c r="AS969" s="74"/>
      <c r="AT969" s="74"/>
      <c r="AU969" s="74"/>
      <c r="AV969" s="74"/>
      <c r="AW969" s="74"/>
      <c r="AX969" s="74"/>
      <c r="AY969" s="74"/>
      <c r="AZ969" s="74"/>
    </row>
    <row r="970">
      <c r="A970" s="71"/>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c r="AJ970" s="74"/>
      <c r="AK970" s="74"/>
      <c r="AL970" s="74"/>
      <c r="AM970" s="74"/>
      <c r="AN970" s="74"/>
      <c r="AO970" s="74"/>
      <c r="AP970" s="74"/>
      <c r="AQ970" s="74"/>
      <c r="AR970" s="74"/>
      <c r="AS970" s="74"/>
      <c r="AT970" s="74"/>
      <c r="AU970" s="74"/>
      <c r="AV970" s="74"/>
      <c r="AW970" s="74"/>
      <c r="AX970" s="74"/>
      <c r="AY970" s="74"/>
      <c r="AZ970" s="74"/>
    </row>
    <row r="971">
      <c r="A971" s="71"/>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c r="AJ971" s="74"/>
      <c r="AK971" s="74"/>
      <c r="AL971" s="74"/>
      <c r="AM971" s="74"/>
      <c r="AN971" s="74"/>
      <c r="AO971" s="74"/>
      <c r="AP971" s="74"/>
      <c r="AQ971" s="74"/>
      <c r="AR971" s="74"/>
      <c r="AS971" s="74"/>
      <c r="AT971" s="74"/>
      <c r="AU971" s="74"/>
      <c r="AV971" s="74"/>
      <c r="AW971" s="74"/>
      <c r="AX971" s="74"/>
      <c r="AY971" s="74"/>
      <c r="AZ971" s="74"/>
    </row>
    <row r="972">
      <c r="A972" s="71"/>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c r="AJ972" s="74"/>
      <c r="AK972" s="74"/>
      <c r="AL972" s="74"/>
      <c r="AM972" s="74"/>
      <c r="AN972" s="74"/>
      <c r="AO972" s="74"/>
      <c r="AP972" s="74"/>
      <c r="AQ972" s="74"/>
      <c r="AR972" s="74"/>
      <c r="AS972" s="74"/>
      <c r="AT972" s="74"/>
      <c r="AU972" s="74"/>
      <c r="AV972" s="74"/>
      <c r="AW972" s="74"/>
      <c r="AX972" s="74"/>
      <c r="AY972" s="74"/>
      <c r="AZ972" s="74"/>
    </row>
    <row r="973">
      <c r="A973" s="71"/>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c r="AJ973" s="74"/>
      <c r="AK973" s="74"/>
      <c r="AL973" s="74"/>
      <c r="AM973" s="74"/>
      <c r="AN973" s="74"/>
      <c r="AO973" s="74"/>
      <c r="AP973" s="74"/>
      <c r="AQ973" s="74"/>
      <c r="AR973" s="74"/>
      <c r="AS973" s="74"/>
      <c r="AT973" s="74"/>
      <c r="AU973" s="74"/>
      <c r="AV973" s="74"/>
      <c r="AW973" s="74"/>
      <c r="AX973" s="74"/>
      <c r="AY973" s="74"/>
      <c r="AZ973" s="74"/>
    </row>
    <row r="974">
      <c r="A974" s="71"/>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c r="AJ974" s="74"/>
      <c r="AK974" s="74"/>
      <c r="AL974" s="74"/>
      <c r="AM974" s="74"/>
      <c r="AN974" s="74"/>
      <c r="AO974" s="74"/>
      <c r="AP974" s="74"/>
      <c r="AQ974" s="74"/>
      <c r="AR974" s="74"/>
      <c r="AS974" s="74"/>
      <c r="AT974" s="74"/>
      <c r="AU974" s="74"/>
      <c r="AV974" s="74"/>
      <c r="AW974" s="74"/>
      <c r="AX974" s="74"/>
      <c r="AY974" s="74"/>
      <c r="AZ974" s="74"/>
    </row>
    <row r="975">
      <c r="A975" s="71"/>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c r="AJ975" s="74"/>
      <c r="AK975" s="74"/>
      <c r="AL975" s="74"/>
      <c r="AM975" s="74"/>
      <c r="AN975" s="74"/>
      <c r="AO975" s="74"/>
      <c r="AP975" s="74"/>
      <c r="AQ975" s="74"/>
      <c r="AR975" s="74"/>
      <c r="AS975" s="74"/>
      <c r="AT975" s="74"/>
      <c r="AU975" s="74"/>
      <c r="AV975" s="74"/>
      <c r="AW975" s="74"/>
      <c r="AX975" s="74"/>
      <c r="AY975" s="74"/>
      <c r="AZ975" s="74"/>
    </row>
    <row r="976">
      <c r="A976" s="71"/>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c r="AJ976" s="74"/>
      <c r="AK976" s="74"/>
      <c r="AL976" s="74"/>
      <c r="AM976" s="74"/>
      <c r="AN976" s="74"/>
      <c r="AO976" s="74"/>
      <c r="AP976" s="74"/>
      <c r="AQ976" s="74"/>
      <c r="AR976" s="74"/>
      <c r="AS976" s="74"/>
      <c r="AT976" s="74"/>
      <c r="AU976" s="74"/>
      <c r="AV976" s="74"/>
      <c r="AW976" s="74"/>
      <c r="AX976" s="74"/>
      <c r="AY976" s="74"/>
      <c r="AZ976" s="74"/>
    </row>
    <row r="977">
      <c r="A977" s="71"/>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c r="AJ977" s="74"/>
      <c r="AK977" s="74"/>
      <c r="AL977" s="74"/>
      <c r="AM977" s="74"/>
      <c r="AN977" s="74"/>
      <c r="AO977" s="74"/>
      <c r="AP977" s="74"/>
      <c r="AQ977" s="74"/>
      <c r="AR977" s="74"/>
      <c r="AS977" s="74"/>
      <c r="AT977" s="74"/>
      <c r="AU977" s="74"/>
      <c r="AV977" s="74"/>
      <c r="AW977" s="74"/>
      <c r="AX977" s="74"/>
      <c r="AY977" s="74"/>
      <c r="AZ977" s="74"/>
    </row>
    <row r="978">
      <c r="A978" s="71"/>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c r="AJ978" s="74"/>
      <c r="AK978" s="74"/>
      <c r="AL978" s="74"/>
      <c r="AM978" s="74"/>
      <c r="AN978" s="74"/>
      <c r="AO978" s="74"/>
      <c r="AP978" s="74"/>
      <c r="AQ978" s="74"/>
      <c r="AR978" s="74"/>
      <c r="AS978" s="74"/>
      <c r="AT978" s="74"/>
      <c r="AU978" s="74"/>
      <c r="AV978" s="74"/>
      <c r="AW978" s="74"/>
      <c r="AX978" s="74"/>
      <c r="AY978" s="74"/>
      <c r="AZ978" s="74"/>
    </row>
    <row r="979">
      <c r="A979" s="71"/>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c r="AJ979" s="74"/>
      <c r="AK979" s="74"/>
      <c r="AL979" s="74"/>
      <c r="AM979" s="74"/>
      <c r="AN979" s="74"/>
      <c r="AO979" s="74"/>
      <c r="AP979" s="74"/>
      <c r="AQ979" s="74"/>
      <c r="AR979" s="74"/>
      <c r="AS979" s="74"/>
      <c r="AT979" s="74"/>
      <c r="AU979" s="74"/>
      <c r="AV979" s="74"/>
      <c r="AW979" s="74"/>
      <c r="AX979" s="74"/>
      <c r="AY979" s="74"/>
      <c r="AZ979" s="74"/>
    </row>
    <row r="980">
      <c r="A980" s="71"/>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c r="AJ980" s="74"/>
      <c r="AK980" s="74"/>
      <c r="AL980" s="74"/>
      <c r="AM980" s="74"/>
      <c r="AN980" s="74"/>
      <c r="AO980" s="74"/>
      <c r="AP980" s="74"/>
      <c r="AQ980" s="74"/>
      <c r="AR980" s="74"/>
      <c r="AS980" s="74"/>
      <c r="AT980" s="74"/>
      <c r="AU980" s="74"/>
      <c r="AV980" s="74"/>
      <c r="AW980" s="74"/>
      <c r="AX980" s="74"/>
      <c r="AY980" s="74"/>
      <c r="AZ980" s="74"/>
    </row>
    <row r="981">
      <c r="A981" s="71"/>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c r="AJ981" s="74"/>
      <c r="AK981" s="74"/>
      <c r="AL981" s="74"/>
      <c r="AM981" s="74"/>
      <c r="AN981" s="74"/>
      <c r="AO981" s="74"/>
      <c r="AP981" s="74"/>
      <c r="AQ981" s="74"/>
      <c r="AR981" s="74"/>
      <c r="AS981" s="74"/>
      <c r="AT981" s="74"/>
      <c r="AU981" s="74"/>
      <c r="AV981" s="74"/>
      <c r="AW981" s="74"/>
      <c r="AX981" s="74"/>
      <c r="AY981" s="74"/>
      <c r="AZ981" s="74"/>
    </row>
    <row r="982">
      <c r="A982" s="71"/>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c r="AM982" s="74"/>
      <c r="AN982" s="74"/>
      <c r="AO982" s="74"/>
      <c r="AP982" s="74"/>
      <c r="AQ982" s="74"/>
      <c r="AR982" s="74"/>
      <c r="AS982" s="74"/>
      <c r="AT982" s="74"/>
      <c r="AU982" s="74"/>
      <c r="AV982" s="74"/>
      <c r="AW982" s="74"/>
      <c r="AX982" s="74"/>
      <c r="AY982" s="74"/>
      <c r="AZ982" s="74"/>
    </row>
    <row r="983">
      <c r="A983" s="71"/>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c r="AJ983" s="74"/>
      <c r="AK983" s="74"/>
      <c r="AL983" s="74"/>
      <c r="AM983" s="74"/>
      <c r="AN983" s="74"/>
      <c r="AO983" s="74"/>
      <c r="AP983" s="74"/>
      <c r="AQ983" s="74"/>
      <c r="AR983" s="74"/>
      <c r="AS983" s="74"/>
      <c r="AT983" s="74"/>
      <c r="AU983" s="74"/>
      <c r="AV983" s="74"/>
      <c r="AW983" s="74"/>
      <c r="AX983" s="74"/>
      <c r="AY983" s="74"/>
      <c r="AZ983" s="74"/>
    </row>
    <row r="984">
      <c r="A984" s="71"/>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c r="AJ984" s="74"/>
      <c r="AK984" s="74"/>
      <c r="AL984" s="74"/>
      <c r="AM984" s="74"/>
      <c r="AN984" s="74"/>
      <c r="AO984" s="74"/>
      <c r="AP984" s="74"/>
      <c r="AQ984" s="74"/>
      <c r="AR984" s="74"/>
      <c r="AS984" s="74"/>
      <c r="AT984" s="74"/>
      <c r="AU984" s="74"/>
      <c r="AV984" s="74"/>
      <c r="AW984" s="74"/>
      <c r="AX984" s="74"/>
      <c r="AY984" s="74"/>
      <c r="AZ984" s="74"/>
    </row>
    <row r="985">
      <c r="A985" s="71"/>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c r="AJ985" s="74"/>
      <c r="AK985" s="74"/>
      <c r="AL985" s="74"/>
      <c r="AM985" s="74"/>
      <c r="AN985" s="74"/>
      <c r="AO985" s="74"/>
      <c r="AP985" s="74"/>
      <c r="AQ985" s="74"/>
      <c r="AR985" s="74"/>
      <c r="AS985" s="74"/>
      <c r="AT985" s="74"/>
      <c r="AU985" s="74"/>
      <c r="AV985" s="74"/>
      <c r="AW985" s="74"/>
      <c r="AX985" s="74"/>
      <c r="AY985" s="74"/>
      <c r="AZ985" s="74"/>
    </row>
    <row r="986">
      <c r="A986" s="71"/>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c r="AJ986" s="74"/>
      <c r="AK986" s="74"/>
      <c r="AL986" s="74"/>
      <c r="AM986" s="74"/>
      <c r="AN986" s="74"/>
      <c r="AO986" s="74"/>
      <c r="AP986" s="74"/>
      <c r="AQ986" s="74"/>
      <c r="AR986" s="74"/>
      <c r="AS986" s="74"/>
      <c r="AT986" s="74"/>
      <c r="AU986" s="74"/>
      <c r="AV986" s="74"/>
      <c r="AW986" s="74"/>
      <c r="AX986" s="74"/>
      <c r="AY986" s="74"/>
      <c r="AZ986" s="74"/>
    </row>
    <row r="987">
      <c r="A987" s="71"/>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c r="AJ987" s="74"/>
      <c r="AK987" s="74"/>
      <c r="AL987" s="74"/>
      <c r="AM987" s="74"/>
      <c r="AN987" s="74"/>
      <c r="AO987" s="74"/>
      <c r="AP987" s="74"/>
      <c r="AQ987" s="74"/>
      <c r="AR987" s="74"/>
      <c r="AS987" s="74"/>
      <c r="AT987" s="74"/>
      <c r="AU987" s="74"/>
      <c r="AV987" s="74"/>
      <c r="AW987" s="74"/>
      <c r="AX987" s="74"/>
      <c r="AY987" s="74"/>
      <c r="AZ987" s="74"/>
    </row>
    <row r="988">
      <c r="A988" s="71"/>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c r="AJ988" s="74"/>
      <c r="AK988" s="74"/>
      <c r="AL988" s="74"/>
      <c r="AM988" s="74"/>
      <c r="AN988" s="74"/>
      <c r="AO988" s="74"/>
      <c r="AP988" s="74"/>
      <c r="AQ988" s="74"/>
      <c r="AR988" s="74"/>
      <c r="AS988" s="74"/>
      <c r="AT988" s="74"/>
      <c r="AU988" s="74"/>
      <c r="AV988" s="74"/>
      <c r="AW988" s="74"/>
      <c r="AX988" s="74"/>
      <c r="AY988" s="74"/>
      <c r="AZ988" s="74"/>
    </row>
    <row r="989">
      <c r="A989" s="71"/>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c r="AJ989" s="74"/>
      <c r="AK989" s="74"/>
      <c r="AL989" s="74"/>
      <c r="AM989" s="74"/>
      <c r="AN989" s="74"/>
      <c r="AO989" s="74"/>
      <c r="AP989" s="74"/>
      <c r="AQ989" s="74"/>
      <c r="AR989" s="74"/>
      <c r="AS989" s="74"/>
      <c r="AT989" s="74"/>
      <c r="AU989" s="74"/>
      <c r="AV989" s="74"/>
      <c r="AW989" s="74"/>
      <c r="AX989" s="74"/>
      <c r="AY989" s="74"/>
      <c r="AZ989" s="74"/>
    </row>
    <row r="990">
      <c r="A990" s="71"/>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c r="AJ990" s="74"/>
      <c r="AK990" s="74"/>
      <c r="AL990" s="74"/>
      <c r="AM990" s="74"/>
      <c r="AN990" s="74"/>
      <c r="AO990" s="74"/>
      <c r="AP990" s="74"/>
      <c r="AQ990" s="74"/>
      <c r="AR990" s="74"/>
      <c r="AS990" s="74"/>
      <c r="AT990" s="74"/>
      <c r="AU990" s="74"/>
      <c r="AV990" s="74"/>
      <c r="AW990" s="74"/>
      <c r="AX990" s="74"/>
      <c r="AY990" s="74"/>
      <c r="AZ990" s="74"/>
    </row>
    <row r="991">
      <c r="A991" s="71"/>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c r="AJ991" s="74"/>
      <c r="AK991" s="74"/>
      <c r="AL991" s="74"/>
      <c r="AM991" s="74"/>
      <c r="AN991" s="74"/>
      <c r="AO991" s="74"/>
      <c r="AP991" s="74"/>
      <c r="AQ991" s="74"/>
      <c r="AR991" s="74"/>
      <c r="AS991" s="74"/>
      <c r="AT991" s="74"/>
      <c r="AU991" s="74"/>
      <c r="AV991" s="74"/>
      <c r="AW991" s="74"/>
      <c r="AX991" s="74"/>
      <c r="AY991" s="74"/>
      <c r="AZ991" s="74"/>
    </row>
    <row r="992">
      <c r="A992" s="71"/>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c r="AJ992" s="74"/>
      <c r="AK992" s="74"/>
      <c r="AL992" s="74"/>
      <c r="AM992" s="74"/>
      <c r="AN992" s="74"/>
      <c r="AO992" s="74"/>
      <c r="AP992" s="74"/>
      <c r="AQ992" s="74"/>
      <c r="AR992" s="74"/>
      <c r="AS992" s="74"/>
      <c r="AT992" s="74"/>
      <c r="AU992" s="74"/>
      <c r="AV992" s="74"/>
      <c r="AW992" s="74"/>
      <c r="AX992" s="74"/>
      <c r="AY992" s="74"/>
      <c r="AZ992" s="74"/>
    </row>
    <row r="993">
      <c r="A993" s="71"/>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c r="AJ993" s="74"/>
      <c r="AK993" s="74"/>
      <c r="AL993" s="74"/>
      <c r="AM993" s="74"/>
      <c r="AN993" s="74"/>
      <c r="AO993" s="74"/>
      <c r="AP993" s="74"/>
      <c r="AQ993" s="74"/>
      <c r="AR993" s="74"/>
      <c r="AS993" s="74"/>
      <c r="AT993" s="74"/>
      <c r="AU993" s="74"/>
      <c r="AV993" s="74"/>
      <c r="AW993" s="74"/>
      <c r="AX993" s="74"/>
      <c r="AY993" s="74"/>
      <c r="AZ993" s="74"/>
    </row>
    <row r="994">
      <c r="A994" s="71"/>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c r="AJ994" s="74"/>
      <c r="AK994" s="74"/>
      <c r="AL994" s="74"/>
      <c r="AM994" s="74"/>
      <c r="AN994" s="74"/>
      <c r="AO994" s="74"/>
      <c r="AP994" s="74"/>
      <c r="AQ994" s="74"/>
      <c r="AR994" s="74"/>
      <c r="AS994" s="74"/>
      <c r="AT994" s="74"/>
      <c r="AU994" s="74"/>
      <c r="AV994" s="74"/>
      <c r="AW994" s="74"/>
      <c r="AX994" s="74"/>
      <c r="AY994" s="74"/>
      <c r="AZ994" s="74"/>
    </row>
    <row r="995">
      <c r="A995" s="71"/>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c r="AJ995" s="74"/>
      <c r="AK995" s="74"/>
      <c r="AL995" s="74"/>
      <c r="AM995" s="74"/>
      <c r="AN995" s="74"/>
      <c r="AO995" s="74"/>
      <c r="AP995" s="74"/>
      <c r="AQ995" s="74"/>
      <c r="AR995" s="74"/>
      <c r="AS995" s="74"/>
      <c r="AT995" s="74"/>
      <c r="AU995" s="74"/>
      <c r="AV995" s="74"/>
      <c r="AW995" s="74"/>
      <c r="AX995" s="74"/>
      <c r="AY995" s="74"/>
      <c r="AZ995" s="74"/>
    </row>
    <row r="996">
      <c r="A996" s="71"/>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c r="AJ996" s="74"/>
      <c r="AK996" s="74"/>
      <c r="AL996" s="74"/>
      <c r="AM996" s="74"/>
      <c r="AN996" s="74"/>
      <c r="AO996" s="74"/>
      <c r="AP996" s="74"/>
      <c r="AQ996" s="74"/>
      <c r="AR996" s="74"/>
      <c r="AS996" s="74"/>
      <c r="AT996" s="74"/>
      <c r="AU996" s="74"/>
      <c r="AV996" s="74"/>
      <c r="AW996" s="74"/>
      <c r="AX996" s="74"/>
      <c r="AY996" s="74"/>
      <c r="AZ996" s="74"/>
    </row>
    <row r="997">
      <c r="A997" s="71"/>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c r="AJ997" s="74"/>
      <c r="AK997" s="74"/>
      <c r="AL997" s="74"/>
      <c r="AM997" s="74"/>
      <c r="AN997" s="74"/>
      <c r="AO997" s="74"/>
      <c r="AP997" s="74"/>
      <c r="AQ997" s="74"/>
      <c r="AR997" s="74"/>
      <c r="AS997" s="74"/>
      <c r="AT997" s="74"/>
      <c r="AU997" s="74"/>
      <c r="AV997" s="74"/>
      <c r="AW997" s="74"/>
      <c r="AX997" s="74"/>
      <c r="AY997" s="74"/>
      <c r="AZ997" s="74"/>
    </row>
    <row r="998">
      <c r="A998" s="71"/>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c r="AG998" s="74"/>
      <c r="AH998" s="74"/>
      <c r="AI998" s="74"/>
      <c r="AJ998" s="74"/>
      <c r="AK998" s="74"/>
      <c r="AL998" s="74"/>
      <c r="AM998" s="74"/>
      <c r="AN998" s="74"/>
      <c r="AO998" s="74"/>
      <c r="AP998" s="74"/>
      <c r="AQ998" s="74"/>
      <c r="AR998" s="74"/>
      <c r="AS998" s="74"/>
      <c r="AT998" s="74"/>
      <c r="AU998" s="74"/>
      <c r="AV998" s="74"/>
      <c r="AW998" s="74"/>
      <c r="AX998" s="74"/>
      <c r="AY998" s="74"/>
      <c r="AZ998" s="74"/>
    </row>
    <row r="999">
      <c r="A999" s="71"/>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c r="AH999" s="74"/>
      <c r="AI999" s="74"/>
      <c r="AJ999" s="74"/>
      <c r="AK999" s="74"/>
      <c r="AL999" s="74"/>
      <c r="AM999" s="74"/>
      <c r="AN999" s="74"/>
      <c r="AO999" s="74"/>
      <c r="AP999" s="74"/>
      <c r="AQ999" s="74"/>
      <c r="AR999" s="74"/>
      <c r="AS999" s="74"/>
      <c r="AT999" s="74"/>
      <c r="AU999" s="74"/>
      <c r="AV999" s="74"/>
      <c r="AW999" s="74"/>
      <c r="AX999" s="74"/>
      <c r="AY999" s="74"/>
      <c r="AZ999" s="7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s>
  <sheetData>
    <row r="1">
      <c r="A1" s="66" t="s">
        <v>304</v>
      </c>
      <c r="B1" s="67">
        <v>1.0</v>
      </c>
      <c r="C1" s="67">
        <v>2.0</v>
      </c>
      <c r="D1" s="67">
        <v>3.0</v>
      </c>
      <c r="E1" s="67">
        <v>4.0</v>
      </c>
      <c r="F1" s="67">
        <v>5.0</v>
      </c>
      <c r="G1" s="67">
        <v>6.0</v>
      </c>
      <c r="H1" s="67">
        <v>7.0</v>
      </c>
      <c r="I1" s="67">
        <v>8.0</v>
      </c>
      <c r="J1" s="67">
        <v>9.0</v>
      </c>
      <c r="K1" s="67">
        <v>10.0</v>
      </c>
      <c r="L1" s="67">
        <v>11.0</v>
      </c>
      <c r="M1" s="67">
        <v>12.0</v>
      </c>
      <c r="N1" s="67">
        <v>13.0</v>
      </c>
      <c r="O1" s="67">
        <v>14.0</v>
      </c>
      <c r="P1" s="67">
        <v>15.0</v>
      </c>
      <c r="Q1" s="67">
        <v>16.0</v>
      </c>
      <c r="R1" s="67">
        <v>17.0</v>
      </c>
      <c r="S1" s="67">
        <v>18.0</v>
      </c>
      <c r="T1" s="67">
        <v>19.0</v>
      </c>
      <c r="U1" s="67">
        <v>20.0</v>
      </c>
      <c r="V1" s="67">
        <v>21.0</v>
      </c>
      <c r="W1" s="67">
        <v>22.0</v>
      </c>
      <c r="X1" s="67">
        <v>23.0</v>
      </c>
      <c r="Y1" s="67">
        <v>24.0</v>
      </c>
      <c r="Z1" s="67">
        <v>25.0</v>
      </c>
      <c r="AA1" s="67">
        <v>26.0</v>
      </c>
      <c r="AB1" s="67">
        <v>27.0</v>
      </c>
      <c r="AC1" s="67">
        <v>28.0</v>
      </c>
      <c r="AD1" s="67">
        <v>29.0</v>
      </c>
      <c r="AE1" s="67">
        <v>30.0</v>
      </c>
      <c r="AF1" s="67">
        <v>31.0</v>
      </c>
      <c r="AG1" s="67">
        <v>32.0</v>
      </c>
      <c r="AH1" s="67">
        <v>33.0</v>
      </c>
      <c r="AI1" s="67">
        <v>34.0</v>
      </c>
      <c r="AJ1" s="67">
        <v>35.0</v>
      </c>
      <c r="AK1" s="67">
        <v>36.0</v>
      </c>
      <c r="AL1" s="67">
        <v>37.0</v>
      </c>
      <c r="AM1" s="67">
        <v>38.0</v>
      </c>
      <c r="AN1" s="67">
        <v>39.0</v>
      </c>
      <c r="AO1" s="67">
        <v>40.0</v>
      </c>
      <c r="AP1" s="67">
        <v>41.0</v>
      </c>
      <c r="AQ1" s="67">
        <v>42.0</v>
      </c>
      <c r="AR1" s="67">
        <v>43.0</v>
      </c>
      <c r="AS1" s="67">
        <v>44.0</v>
      </c>
      <c r="AT1" s="67">
        <v>45.0</v>
      </c>
      <c r="AU1" s="67">
        <v>46.0</v>
      </c>
      <c r="AV1" s="67">
        <v>47.0</v>
      </c>
      <c r="AW1" s="67">
        <v>48.0</v>
      </c>
      <c r="AX1" s="67">
        <v>49.0</v>
      </c>
      <c r="AY1" s="67">
        <v>50.0</v>
      </c>
      <c r="AZ1" s="67">
        <v>51.0</v>
      </c>
    </row>
    <row r="2">
      <c r="A2" s="68" t="str">
        <f t="array" ref="A2:A41">Posts_Primary!M2:M999</f>
        <v>C-44eycs1H5</v>
      </c>
      <c r="B2" s="75"/>
      <c r="C2" s="75"/>
      <c r="D2" s="75"/>
      <c r="E2" s="75"/>
      <c r="F2" s="75"/>
      <c r="G2" s="75"/>
      <c r="H2" s="75"/>
      <c r="I2" s="75"/>
      <c r="J2" s="75"/>
      <c r="K2" s="75"/>
      <c r="L2" s="75"/>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row>
    <row r="3">
      <c r="A3" s="71" t="s">
        <v>355</v>
      </c>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6"/>
      <c r="AH3" s="76"/>
      <c r="AI3" s="75"/>
      <c r="AJ3" s="75"/>
      <c r="AK3" s="75"/>
      <c r="AL3" s="75"/>
      <c r="AM3" s="75"/>
      <c r="AN3" s="75"/>
      <c r="AO3" s="75"/>
      <c r="AP3" s="75"/>
      <c r="AQ3" s="75"/>
      <c r="AR3" s="75"/>
      <c r="AS3" s="75"/>
      <c r="AT3" s="75"/>
      <c r="AU3" s="75"/>
      <c r="AV3" s="75"/>
      <c r="AW3" s="75"/>
      <c r="AX3" s="75"/>
      <c r="AY3" s="75"/>
      <c r="AZ3" s="75"/>
    </row>
    <row r="4">
      <c r="A4" s="71" t="s">
        <v>399</v>
      </c>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row>
    <row r="5">
      <c r="A5" s="71" t="s">
        <v>426</v>
      </c>
      <c r="B5" s="75"/>
      <c r="C5" s="75"/>
      <c r="D5" s="75"/>
      <c r="E5" s="75"/>
      <c r="F5" s="75"/>
      <c r="G5" s="75"/>
      <c r="H5" s="75"/>
      <c r="I5" s="75"/>
      <c r="J5" s="75"/>
      <c r="K5" s="75"/>
      <c r="L5" s="69"/>
      <c r="M5" s="69"/>
      <c r="N5" s="69"/>
      <c r="O5" s="70"/>
      <c r="P5" s="70"/>
      <c r="Q5" s="70"/>
      <c r="R5" s="70"/>
      <c r="S5" s="70"/>
      <c r="T5" s="70"/>
      <c r="U5" s="70"/>
      <c r="V5" s="70"/>
      <c r="W5" s="70"/>
      <c r="X5" s="70"/>
      <c r="Y5" s="70"/>
      <c r="Z5" s="70"/>
      <c r="AA5" s="70"/>
      <c r="AB5" s="70"/>
      <c r="AC5" s="70"/>
      <c r="AD5" s="70"/>
      <c r="AE5" s="70"/>
      <c r="AF5" s="70"/>
      <c r="AG5" s="70"/>
      <c r="AH5" s="70"/>
      <c r="AI5" s="70"/>
      <c r="AJ5" s="70"/>
      <c r="AK5" s="70"/>
      <c r="AL5" s="70"/>
      <c r="AM5" s="74"/>
      <c r="AN5" s="74"/>
      <c r="AO5" s="74"/>
      <c r="AP5" s="74"/>
      <c r="AQ5" s="74"/>
      <c r="AR5" s="74"/>
      <c r="AS5" s="74"/>
      <c r="AT5" s="74"/>
      <c r="AU5" s="74"/>
      <c r="AV5" s="74"/>
      <c r="AW5" s="74"/>
      <c r="AX5" s="74"/>
      <c r="AY5" s="74"/>
      <c r="AZ5" s="74"/>
    </row>
    <row r="6">
      <c r="A6" s="71" t="s">
        <v>443</v>
      </c>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row>
    <row r="7">
      <c r="A7" s="71" t="s">
        <v>484</v>
      </c>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row>
    <row r="8">
      <c r="A8" s="71" t="s">
        <v>495</v>
      </c>
      <c r="B8" s="75"/>
      <c r="C8" s="74"/>
      <c r="D8" s="74"/>
      <c r="E8" s="74"/>
      <c r="F8" s="74"/>
      <c r="G8" s="74"/>
      <c r="H8" s="74"/>
      <c r="I8" s="74"/>
      <c r="J8" s="74"/>
      <c r="K8" s="75"/>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row>
    <row r="9">
      <c r="A9" s="71" t="s">
        <v>510</v>
      </c>
      <c r="B9" s="75"/>
      <c r="C9" s="74"/>
      <c r="D9" s="74"/>
      <c r="E9" s="74"/>
      <c r="F9" s="74"/>
      <c r="G9" s="74"/>
      <c r="H9" s="74"/>
      <c r="I9" s="74"/>
      <c r="J9" s="74"/>
      <c r="K9" s="75"/>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row>
    <row r="10">
      <c r="A10" s="71" t="s">
        <v>545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row>
    <row r="11">
      <c r="A11" s="71" t="s">
        <v>550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row>
    <row r="12">
      <c r="A12" s="71" t="s">
        <v>556</v>
      </c>
      <c r="B12" s="77">
        <v>46028.26875</v>
      </c>
      <c r="C12" s="77">
        <v>46021.23055555556</v>
      </c>
      <c r="D12" s="77">
        <v>46021.22986111111</v>
      </c>
      <c r="E12" s="77">
        <v>46021.23055555556</v>
      </c>
      <c r="F12" s="77">
        <v>46028.10277777778</v>
      </c>
      <c r="G12" s="77">
        <v>46035.760416666664</v>
      </c>
      <c r="H12" s="77">
        <v>46035.44652777778</v>
      </c>
      <c r="I12" s="77">
        <v>46039.17847222222</v>
      </c>
      <c r="J12" s="77">
        <v>46037.45416666667</v>
      </c>
      <c r="K12" s="77">
        <v>46021.231944444444</v>
      </c>
      <c r="L12" s="77">
        <v>46034.165972222225</v>
      </c>
      <c r="M12" s="77">
        <v>46021.23263888889</v>
      </c>
      <c r="N12" s="77">
        <v>46021.865277777775</v>
      </c>
      <c r="O12" s="77">
        <v>46033.175</v>
      </c>
      <c r="P12" s="77">
        <v>46033.552777777775</v>
      </c>
      <c r="Q12" s="77">
        <v>46021.563888888886</v>
      </c>
      <c r="R12" s="77">
        <v>46033.760416666664</v>
      </c>
      <c r="S12" s="77">
        <v>46040.32847222222</v>
      </c>
      <c r="T12" s="77">
        <v>46036.552083333336</v>
      </c>
      <c r="U12" s="77">
        <v>46021.23611111111</v>
      </c>
      <c r="V12" s="77">
        <v>46021.33819444444</v>
      </c>
      <c r="W12" s="77">
        <v>46021.441666666666</v>
      </c>
      <c r="X12" s="77">
        <v>46021.760416666664</v>
      </c>
      <c r="Y12" s="77">
        <v>46022.50902777778</v>
      </c>
      <c r="Z12" s="77">
        <v>46022.67638888889</v>
      </c>
      <c r="AA12" s="77">
        <v>46023.61666666667</v>
      </c>
      <c r="AB12" s="77">
        <v>46025.82013888889</v>
      </c>
      <c r="AC12" s="77">
        <v>46027.34930555556</v>
      </c>
      <c r="AD12" s="77">
        <v>46027.950694444444</v>
      </c>
      <c r="AE12" s="77">
        <v>46028.44513888889</v>
      </c>
      <c r="AF12" s="77">
        <v>46032.67847222222</v>
      </c>
      <c r="AG12" s="77">
        <v>46027.76111111111</v>
      </c>
      <c r="AH12" s="77">
        <v>46028.45208333333</v>
      </c>
      <c r="AI12" s="77">
        <v>46028.96388888889</v>
      </c>
      <c r="AJ12" s="77">
        <v>46036.85277777778</v>
      </c>
      <c r="AK12" s="77">
        <v>46038.84375</v>
      </c>
      <c r="AL12" s="77">
        <v>46038.305555555555</v>
      </c>
      <c r="AM12" s="77">
        <v>46037.69027777778</v>
      </c>
      <c r="AN12" s="77">
        <v>46038.13402777778</v>
      </c>
      <c r="AO12" s="77">
        <v>46038.94305555556</v>
      </c>
      <c r="AP12" s="77">
        <v>46038.77013888889</v>
      </c>
      <c r="AQ12" s="77">
        <v>46039.02638888889</v>
      </c>
      <c r="AR12" s="77">
        <v>46038.009722222225</v>
      </c>
      <c r="AS12" s="77">
        <v>46039.075</v>
      </c>
      <c r="AT12" s="77">
        <v>46038.785416666666</v>
      </c>
      <c r="AU12" s="77">
        <v>46038.40694444445</v>
      </c>
      <c r="AV12" s="77">
        <v>46034.825</v>
      </c>
      <c r="AW12" s="77">
        <v>46033.895833333336</v>
      </c>
      <c r="AX12" s="77">
        <v>46033.57916666667</v>
      </c>
      <c r="AY12" s="77">
        <v>46033.489583333336</v>
      </c>
      <c r="AZ12" s="74"/>
    </row>
    <row r="13">
      <c r="A13" s="71" t="s">
        <v>583</v>
      </c>
      <c r="B13" s="77">
        <v>46057.143055555556</v>
      </c>
      <c r="C13" s="77">
        <v>46046.94513888889</v>
      </c>
      <c r="D13" s="77">
        <v>46077.80694444444</v>
      </c>
      <c r="E13" s="77">
        <v>46054.30069444444</v>
      </c>
      <c r="F13" s="77">
        <v>46046.274305555555</v>
      </c>
      <c r="G13" s="77">
        <v>46046.27013888889</v>
      </c>
      <c r="H13" s="77">
        <v>46046.27013888889</v>
      </c>
      <c r="I13" s="77">
        <v>46046.24652777778</v>
      </c>
      <c r="J13" s="77">
        <v>46046.243055555555</v>
      </c>
      <c r="K13" s="77">
        <v>46046.239583333336</v>
      </c>
      <c r="L13" s="77">
        <v>46079.8625</v>
      </c>
      <c r="M13" s="77">
        <v>46046.27291666667</v>
      </c>
      <c r="N13" s="2"/>
      <c r="O13" s="2"/>
      <c r="P13" s="2"/>
      <c r="Q13" s="2"/>
      <c r="R13" s="2"/>
      <c r="S13" s="2"/>
      <c r="T13" s="2"/>
      <c r="U13" s="2"/>
      <c r="V13" s="2"/>
      <c r="W13" s="2"/>
      <c r="X13" s="2"/>
      <c r="Y13" s="2"/>
      <c r="Z13" s="2"/>
      <c r="AA13" s="2"/>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row>
    <row r="14">
      <c r="A14" s="71" t="s">
        <v>596</v>
      </c>
      <c r="B14" s="77">
        <v>45934.47708333333</v>
      </c>
      <c r="C14" s="77">
        <v>45938.46944444445</v>
      </c>
      <c r="D14" s="77">
        <v>45939.541666666664</v>
      </c>
      <c r="E14" s="77">
        <v>45934.48055555556</v>
      </c>
      <c r="F14" s="77">
        <v>45935.888194444444</v>
      </c>
      <c r="G14" s="77">
        <v>45935.17986111111</v>
      </c>
      <c r="H14" s="77">
        <v>45934.555555555555</v>
      </c>
      <c r="I14" s="77">
        <v>45934.552083333336</v>
      </c>
      <c r="J14" s="77">
        <v>45934.490277777775</v>
      </c>
      <c r="K14" s="77">
        <v>45934.51875</v>
      </c>
      <c r="L14" s="77">
        <v>45935.23055555556</v>
      </c>
      <c r="M14" s="77">
        <v>45934.46666666667</v>
      </c>
      <c r="N14" s="77">
        <v>45934.575</v>
      </c>
      <c r="O14" s="77">
        <v>45934.680555555555</v>
      </c>
      <c r="P14" s="77">
        <v>45935.09305555555</v>
      </c>
      <c r="Q14" s="77">
        <v>45934.86388888889</v>
      </c>
      <c r="R14" s="77">
        <v>45939.825</v>
      </c>
      <c r="S14" s="77">
        <v>45935.02222222222</v>
      </c>
      <c r="T14" s="77">
        <v>45934.525</v>
      </c>
      <c r="U14" s="77">
        <v>45934.51458333333</v>
      </c>
      <c r="V14" s="77">
        <v>45934.57986111111</v>
      </c>
      <c r="W14" s="77">
        <v>45934.666666666664</v>
      </c>
      <c r="X14" s="77">
        <v>45934.66180555556</v>
      </c>
      <c r="Y14" s="77">
        <v>45936.34652777778</v>
      </c>
      <c r="Z14" s="77">
        <v>45935.52777777778</v>
      </c>
      <c r="AA14" s="77">
        <v>45934.561111111114</v>
      </c>
      <c r="AB14" s="77">
        <v>45934.518055555556</v>
      </c>
      <c r="AC14" s="77">
        <v>45934.47152777778</v>
      </c>
      <c r="AD14" s="77">
        <v>45934.55347222222</v>
      </c>
      <c r="AE14" s="77">
        <v>45935.20694444444</v>
      </c>
      <c r="AF14" s="77">
        <v>45935.084027777775</v>
      </c>
      <c r="AG14" s="77">
        <v>45934.50902777778</v>
      </c>
      <c r="AH14" s="77">
        <v>45935.30694444444</v>
      </c>
      <c r="AI14" s="77">
        <v>45934.65972222222</v>
      </c>
      <c r="AJ14" s="77">
        <v>45941.03194444445</v>
      </c>
      <c r="AK14" s="77">
        <v>45934.504166666666</v>
      </c>
      <c r="AL14" s="77">
        <v>45934.47222222222</v>
      </c>
      <c r="AM14" s="77">
        <v>45934.46111111111</v>
      </c>
      <c r="AN14" s="77">
        <v>45934.45694444444</v>
      </c>
      <c r="AO14" s="77">
        <v>45934.46666666667</v>
      </c>
      <c r="AP14" s="77">
        <v>45934.46319444444</v>
      </c>
      <c r="AQ14" s="77">
        <v>45934.46388888889</v>
      </c>
      <c r="AR14" s="77">
        <v>45934.62777777778</v>
      </c>
      <c r="AS14" s="77">
        <v>45934.46111111111</v>
      </c>
      <c r="AT14" s="77">
        <v>45935.5125</v>
      </c>
      <c r="AU14" s="77">
        <v>45935.64027777778</v>
      </c>
      <c r="AV14" s="77">
        <v>45936.23819444444</v>
      </c>
      <c r="AW14" s="77">
        <v>45949.509722222225</v>
      </c>
      <c r="AX14" s="74"/>
      <c r="AY14" s="74"/>
      <c r="AZ14" s="74"/>
    </row>
    <row r="15">
      <c r="A15" s="71" t="s">
        <v>641</v>
      </c>
      <c r="B15" s="77">
        <v>46075.21319444444</v>
      </c>
      <c r="C15" s="77">
        <v>46075.325</v>
      </c>
      <c r="D15" s="77">
        <v>46076.26666666667</v>
      </c>
      <c r="E15" s="77">
        <v>46075.20763888889</v>
      </c>
      <c r="F15" s="77">
        <v>46075.25069444445</v>
      </c>
      <c r="G15" s="77">
        <v>46075.22708333333</v>
      </c>
      <c r="H15" s="77">
        <v>46075.22222222222</v>
      </c>
      <c r="I15" s="77">
        <v>46075.427083333336</v>
      </c>
      <c r="J15" s="77">
        <v>46075.67986111111</v>
      </c>
      <c r="K15" s="77">
        <v>46076.30902777778</v>
      </c>
      <c r="L15" s="77">
        <v>46075.32430555556</v>
      </c>
      <c r="M15" s="77">
        <v>46075.183333333334</v>
      </c>
      <c r="N15" s="77">
        <v>46077.45416666667</v>
      </c>
      <c r="O15" s="77">
        <v>46075.39097222222</v>
      </c>
      <c r="P15" s="77">
        <v>46075.23888888889</v>
      </c>
      <c r="Q15" s="77">
        <v>46075.29513888889</v>
      </c>
      <c r="R15" s="77">
        <v>46075.302777777775</v>
      </c>
      <c r="S15" s="77">
        <v>46075.425</v>
      </c>
      <c r="T15" s="77">
        <v>46075.3375</v>
      </c>
      <c r="U15" s="77">
        <v>46075.239583333336</v>
      </c>
      <c r="V15" s="77">
        <v>46077.4375</v>
      </c>
      <c r="W15" s="77">
        <v>46075.208333333336</v>
      </c>
      <c r="X15" s="77">
        <v>46075.788194444445</v>
      </c>
      <c r="Y15" s="77">
        <v>46075.49513888889</v>
      </c>
      <c r="Z15" s="77">
        <v>46077.68819444445</v>
      </c>
      <c r="AA15" s="77">
        <v>46075.33611111111</v>
      </c>
      <c r="AB15" s="77">
        <v>46080.76111111111</v>
      </c>
      <c r="AC15" s="77">
        <v>46075.19027777778</v>
      </c>
      <c r="AD15" s="77">
        <v>46075.19861111111</v>
      </c>
      <c r="AE15" s="77">
        <v>46079.39722222222</v>
      </c>
      <c r="AF15" s="77">
        <v>46081.611805555556</v>
      </c>
      <c r="AG15" s="77">
        <v>46082.75347222222</v>
      </c>
      <c r="AH15" s="77">
        <v>46075.40277777778</v>
      </c>
      <c r="AI15" s="77">
        <v>46075.36875</v>
      </c>
      <c r="AJ15" s="77">
        <v>46081.10763888889</v>
      </c>
      <c r="AK15" s="77">
        <v>46084.45416666667</v>
      </c>
      <c r="AL15" s="77">
        <v>46079.725</v>
      </c>
      <c r="AM15" s="77">
        <v>46078.48888888889</v>
      </c>
      <c r="AN15" s="77">
        <v>46084.32638888889</v>
      </c>
      <c r="AO15" s="77">
        <v>46088.57847222222</v>
      </c>
      <c r="AP15" s="77">
        <v>46086.79722222222</v>
      </c>
      <c r="AQ15" s="77">
        <v>46088.58263888889</v>
      </c>
      <c r="AR15" s="77">
        <v>46075.19652777778</v>
      </c>
      <c r="AS15" s="77">
        <v>46079.316666666666</v>
      </c>
      <c r="AT15" s="77">
        <v>46081.52847222222</v>
      </c>
      <c r="AU15" s="77">
        <v>46084.04513888889</v>
      </c>
      <c r="AV15" s="74"/>
      <c r="AW15" s="74"/>
      <c r="AX15" s="74"/>
      <c r="AY15" s="74"/>
      <c r="AZ15" s="74"/>
    </row>
    <row r="16">
      <c r="A16" s="71" t="s">
        <v>670</v>
      </c>
      <c r="B16" s="77">
        <v>46013.61597222222</v>
      </c>
      <c r="C16" s="77">
        <v>45838.592361111114</v>
      </c>
      <c r="D16" s="77">
        <v>45828.29513888889</v>
      </c>
      <c r="E16" s="77">
        <v>45839.61875</v>
      </c>
      <c r="F16" s="77">
        <v>45975.075694444444</v>
      </c>
      <c r="G16" s="77">
        <v>45828.51388888889</v>
      </c>
      <c r="H16" s="77">
        <v>45834.3625</v>
      </c>
      <c r="I16" s="77">
        <v>45842.11597222222</v>
      </c>
      <c r="J16" s="77">
        <v>45839.23472222222</v>
      </c>
      <c r="K16" s="77">
        <v>45850.779861111114</v>
      </c>
      <c r="L16" s="2"/>
      <c r="M16" s="2"/>
      <c r="N16" s="2"/>
      <c r="O16" s="2"/>
      <c r="P16" s="2"/>
      <c r="Q16" s="2"/>
      <c r="R16" s="2"/>
      <c r="S16" s="2"/>
      <c r="T16" s="2"/>
      <c r="U16" s="2"/>
      <c r="V16" s="2"/>
      <c r="W16" s="2"/>
      <c r="X16" s="2"/>
      <c r="Y16" s="2"/>
      <c r="Z16" s="2"/>
      <c r="AA16" s="2"/>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row>
    <row r="17">
      <c r="A17" s="71" t="s">
        <v>679</v>
      </c>
      <c r="B17" s="77">
        <v>46070.09444444445</v>
      </c>
      <c r="C17" s="77">
        <v>46073.975694444445</v>
      </c>
      <c r="D17" s="77">
        <v>46070.302083333336</v>
      </c>
      <c r="E17" s="77">
        <v>46070.058333333334</v>
      </c>
      <c r="F17" s="77">
        <v>46070.10486111111</v>
      </c>
      <c r="G17" s="77">
        <v>46070.09861111111</v>
      </c>
      <c r="H17" s="77">
        <v>46073.84444444445</v>
      </c>
      <c r="I17" s="77">
        <v>46071.45972222222</v>
      </c>
      <c r="J17" s="77">
        <v>46070.07361111111</v>
      </c>
      <c r="K17" s="77">
        <v>46070.05694444444</v>
      </c>
      <c r="L17" s="77">
        <v>46070.46527777778</v>
      </c>
      <c r="M17" s="77">
        <v>46070.58194444444</v>
      </c>
      <c r="N17" s="77">
        <v>46070.05902777778</v>
      </c>
      <c r="O17" s="77">
        <v>46070.10625</v>
      </c>
      <c r="P17" s="77">
        <v>46070.058333333334</v>
      </c>
      <c r="Q17" s="77">
        <v>46071.0</v>
      </c>
      <c r="R17" s="77">
        <v>46070.330555555556</v>
      </c>
      <c r="S17" s="77">
        <v>46070.08194444444</v>
      </c>
      <c r="T17" s="77">
        <v>46070.146527777775</v>
      </c>
      <c r="U17" s="77">
        <v>46070.686111111114</v>
      </c>
      <c r="V17" s="77">
        <v>46076.44583333333</v>
      </c>
      <c r="W17" s="77">
        <v>46070.06319444445</v>
      </c>
      <c r="X17" s="77">
        <v>46071.040972222225</v>
      </c>
      <c r="Y17" s="77">
        <v>46070.07361111111</v>
      </c>
      <c r="Z17" s="77">
        <v>46070.38888888889</v>
      </c>
      <c r="AA17" s="77">
        <v>46070.245833333334</v>
      </c>
      <c r="AB17" s="77">
        <v>46070.51527777778</v>
      </c>
      <c r="AC17" s="77">
        <v>46071.02638888889</v>
      </c>
      <c r="AD17" s="77">
        <v>46070.1</v>
      </c>
      <c r="AE17" s="77">
        <v>46071.498611111114</v>
      </c>
      <c r="AF17" s="77">
        <v>46070.72777777778</v>
      </c>
      <c r="AG17" s="77">
        <v>46070.510416666664</v>
      </c>
      <c r="AH17" s="77">
        <v>46074.3625</v>
      </c>
      <c r="AI17" s="74"/>
      <c r="AJ17" s="74"/>
      <c r="AK17" s="74"/>
      <c r="AL17" s="74"/>
      <c r="AM17" s="74"/>
      <c r="AN17" s="74"/>
      <c r="AO17" s="74"/>
      <c r="AP17" s="74"/>
      <c r="AQ17" s="74"/>
      <c r="AR17" s="74"/>
      <c r="AS17" s="74"/>
      <c r="AT17" s="74"/>
      <c r="AU17" s="74"/>
      <c r="AV17" s="74"/>
      <c r="AW17" s="74"/>
      <c r="AX17" s="74"/>
      <c r="AY17" s="74"/>
      <c r="AZ17" s="74"/>
    </row>
    <row r="18">
      <c r="A18" s="71" t="s">
        <v>704</v>
      </c>
      <c r="B18" s="77">
        <v>45809.76388888889</v>
      </c>
      <c r="C18" s="77">
        <v>45810.36319444444</v>
      </c>
      <c r="D18" s="77">
        <v>45810.373611111114</v>
      </c>
      <c r="E18" s="77">
        <v>45810.15416666667</v>
      </c>
      <c r="F18" s="77">
        <v>45812.478472222225</v>
      </c>
      <c r="G18" s="77">
        <v>45809.649305555555</v>
      </c>
      <c r="H18" s="77">
        <v>45809.745833333334</v>
      </c>
      <c r="I18" s="77">
        <v>45810.040972222225</v>
      </c>
      <c r="J18" s="77">
        <v>45809.93472222222</v>
      </c>
      <c r="K18" s="77">
        <v>45809.87222222222</v>
      </c>
      <c r="L18" s="77">
        <v>45809.714583333334</v>
      </c>
      <c r="M18" s="77">
        <v>45809.8625</v>
      </c>
      <c r="N18" s="77">
        <v>45809.68541666667</v>
      </c>
      <c r="O18" s="77">
        <v>45810.12291666667</v>
      </c>
      <c r="P18" s="77">
        <v>45809.65555555555</v>
      </c>
      <c r="Q18" s="77">
        <v>45810.03680555556</v>
      </c>
      <c r="R18" s="77">
        <v>45809.67986111111</v>
      </c>
      <c r="S18" s="77">
        <v>45810.01180555556</v>
      </c>
      <c r="T18" s="77">
        <v>45811.589583333334</v>
      </c>
      <c r="U18" s="2"/>
      <c r="V18" s="2"/>
      <c r="W18" s="2"/>
      <c r="X18" s="2"/>
      <c r="Y18" s="2"/>
      <c r="Z18" s="2"/>
      <c r="AA18" s="2"/>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row>
    <row r="19">
      <c r="A19" s="71" t="s">
        <v>717</v>
      </c>
      <c r="B19" s="77">
        <v>45980.37569444445</v>
      </c>
      <c r="C19" s="77">
        <v>45981.07986111111</v>
      </c>
      <c r="D19" s="77">
        <v>45980.361805555556</v>
      </c>
      <c r="E19" s="77">
        <v>45980.38055555556</v>
      </c>
      <c r="F19" s="77">
        <v>45980.375</v>
      </c>
      <c r="G19" s="77">
        <v>45980.42083333333</v>
      </c>
      <c r="H19" s="77">
        <v>45981.45972222222</v>
      </c>
      <c r="I19" s="77">
        <v>45983.11388888889</v>
      </c>
      <c r="J19" s="77">
        <v>45981.08472222222</v>
      </c>
      <c r="K19" s="77">
        <v>45980.36041666667</v>
      </c>
      <c r="L19" s="77">
        <v>45980.56597222222</v>
      </c>
      <c r="M19" s="77">
        <v>45980.47430555556</v>
      </c>
      <c r="N19" s="77">
        <v>45980.39097222222</v>
      </c>
      <c r="O19" s="77">
        <v>45980.402083333334</v>
      </c>
      <c r="P19" s="77">
        <v>45980.3875</v>
      </c>
      <c r="Q19" s="77">
        <v>45981.157638888886</v>
      </c>
      <c r="R19" s="77">
        <v>45980.43819444445</v>
      </c>
      <c r="S19" s="77">
        <v>45980.57361111111</v>
      </c>
      <c r="T19" s="77">
        <v>45980.415972222225</v>
      </c>
      <c r="U19" s="77">
        <v>45980.43125</v>
      </c>
      <c r="V19" s="77">
        <v>45980.464583333334</v>
      </c>
      <c r="W19" s="77">
        <v>45980.785416666666</v>
      </c>
      <c r="X19" s="77">
        <v>45980.467361111114</v>
      </c>
      <c r="Y19" s="77">
        <v>45980.38958333333</v>
      </c>
      <c r="Z19" s="77">
        <v>45982.21805555555</v>
      </c>
      <c r="AA19" s="77">
        <v>45980.36111111111</v>
      </c>
      <c r="AB19" s="77">
        <v>45980.368055555555</v>
      </c>
      <c r="AC19" s="77">
        <v>45980.49444444444</v>
      </c>
      <c r="AD19" s="77">
        <v>45980.47222222222</v>
      </c>
      <c r="AE19" s="77">
        <v>45980.55138888889</v>
      </c>
      <c r="AF19" s="77">
        <v>45980.740277777775</v>
      </c>
      <c r="AG19" s="77">
        <v>45981.00486111111</v>
      </c>
      <c r="AH19" s="77">
        <v>45981.02638888889</v>
      </c>
      <c r="AI19" s="77">
        <v>45989.044444444444</v>
      </c>
      <c r="AJ19" s="74"/>
      <c r="AK19" s="74"/>
      <c r="AL19" s="74"/>
      <c r="AM19" s="74"/>
      <c r="AN19" s="74"/>
      <c r="AO19" s="74"/>
      <c r="AP19" s="74"/>
      <c r="AQ19" s="74"/>
      <c r="AR19" s="74"/>
      <c r="AS19" s="74"/>
      <c r="AT19" s="74"/>
      <c r="AU19" s="74"/>
      <c r="AV19" s="74"/>
      <c r="AW19" s="74"/>
      <c r="AX19" s="74"/>
      <c r="AY19" s="74"/>
      <c r="AZ19" s="74"/>
    </row>
    <row r="20">
      <c r="A20" s="71" t="s">
        <v>740</v>
      </c>
      <c r="B20" s="77">
        <v>45963.15416666667</v>
      </c>
      <c r="C20" s="77">
        <v>45965.62013888889</v>
      </c>
      <c r="D20" s="77">
        <v>45965.62013888889</v>
      </c>
      <c r="E20" s="77">
        <v>45964.72152777778</v>
      </c>
      <c r="F20" s="77">
        <v>45963.82013888889</v>
      </c>
      <c r="G20" s="77">
        <v>45973.625</v>
      </c>
      <c r="H20" s="77">
        <v>45963.14166666667</v>
      </c>
      <c r="I20" s="77">
        <v>45963.11388888889</v>
      </c>
      <c r="J20" s="2"/>
      <c r="K20" s="2"/>
      <c r="L20" s="2"/>
      <c r="M20" s="2"/>
      <c r="N20" s="2"/>
      <c r="O20" s="2"/>
      <c r="P20" s="2"/>
      <c r="Q20" s="2"/>
      <c r="R20" s="2"/>
      <c r="S20" s="2"/>
      <c r="T20" s="2"/>
      <c r="U20" s="2"/>
      <c r="V20" s="2"/>
      <c r="W20" s="2"/>
      <c r="X20" s="2"/>
      <c r="Y20" s="2"/>
      <c r="Z20" s="2"/>
      <c r="AA20" s="2"/>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row>
    <row r="21">
      <c r="A21" s="71" t="s">
        <v>746</v>
      </c>
      <c r="B21" s="77">
        <v>46011.381944444445</v>
      </c>
      <c r="C21" s="77">
        <v>46023.57361111111</v>
      </c>
      <c r="D21" s="77">
        <v>46010.07013888889</v>
      </c>
      <c r="E21" s="77">
        <v>46025.03472222222</v>
      </c>
      <c r="F21" s="77">
        <v>46013.365277777775</v>
      </c>
      <c r="G21" s="77">
        <v>46010.07013888889</v>
      </c>
      <c r="H21" s="77">
        <v>46010.07013888889</v>
      </c>
      <c r="I21" s="77">
        <v>46015.43472222222</v>
      </c>
      <c r="J21" s="77">
        <v>46010.45208333333</v>
      </c>
      <c r="K21" s="77">
        <v>46010.13680555556</v>
      </c>
      <c r="L21" s="77">
        <v>46015.04652777778</v>
      </c>
      <c r="M21" s="77">
        <v>46010.486805555556</v>
      </c>
      <c r="N21" s="2"/>
      <c r="O21" s="2"/>
      <c r="P21" s="2"/>
      <c r="Q21" s="2"/>
      <c r="R21" s="2"/>
      <c r="S21" s="2"/>
      <c r="T21" s="2"/>
      <c r="U21" s="2"/>
      <c r="V21" s="2"/>
      <c r="W21" s="2"/>
      <c r="X21" s="2"/>
      <c r="Y21" s="2"/>
      <c r="Z21" s="2"/>
      <c r="AA21" s="2"/>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row>
    <row r="22">
      <c r="A22" s="71" t="s">
        <v>161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row>
    <row r="23">
      <c r="A23" s="71" t="s">
        <v>171</v>
      </c>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row>
    <row r="24">
      <c r="A24" s="71" t="s">
        <v>179</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row>
    <row r="25">
      <c r="A25" s="71" t="s">
        <v>187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row>
    <row r="26">
      <c r="A26" s="71" t="s">
        <v>195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row>
    <row r="27">
      <c r="A27" s="71" t="s">
        <v>204</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row>
    <row r="28">
      <c r="A28" s="71" t="s">
        <v>212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row>
    <row r="29">
      <c r="A29" s="71" t="s">
        <v>220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row>
    <row r="30">
      <c r="A30" s="71" t="s">
        <v>228</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row>
    <row r="31">
      <c r="A31" s="71" t="s">
        <v>236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row>
    <row r="32">
      <c r="A32" s="71" t="s">
        <v>758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4"/>
    </row>
    <row r="33">
      <c r="A33" s="71" t="s">
        <v>803</v>
      </c>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row>
    <row r="34">
      <c r="A34" s="71" t="s">
        <v>804</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row>
    <row r="35">
      <c r="A35" s="71" t="s">
        <v>805</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row>
    <row r="36">
      <c r="A36" s="71" t="s">
        <v>806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row>
    <row r="37">
      <c r="A37" s="71" t="s">
        <v>807</v>
      </c>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row>
    <row r="38">
      <c r="A38" s="71" t="s">
        <v>808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row>
    <row r="39">
      <c r="A39" s="71" t="s">
        <v>809</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row>
    <row r="40">
      <c r="A40" s="71" t="s">
        <v>810</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row>
    <row r="41">
      <c r="A41" s="71" t="s">
        <v>161</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row>
    <row r="42">
      <c r="A42" s="71"/>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row>
    <row r="43">
      <c r="A43" s="71"/>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row>
    <row r="44">
      <c r="A44" s="71"/>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row>
    <row r="45">
      <c r="A45" s="71"/>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row>
    <row r="46">
      <c r="A46" s="71"/>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row>
    <row r="47">
      <c r="A47" s="71"/>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row>
    <row r="48">
      <c r="A48" s="71"/>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row>
    <row r="49">
      <c r="A49" s="71"/>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row>
    <row r="50">
      <c r="A50" s="71"/>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row>
    <row r="51">
      <c r="A51" s="71"/>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row>
    <row r="52">
      <c r="A52" s="71"/>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row>
    <row r="53">
      <c r="A53" s="71"/>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row>
    <row r="54">
      <c r="A54" s="71"/>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row>
    <row r="55">
      <c r="A55" s="71"/>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row>
    <row r="56">
      <c r="A56" s="71"/>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row>
    <row r="57">
      <c r="A57" s="71"/>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row>
    <row r="58">
      <c r="A58" s="71"/>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row>
    <row r="59">
      <c r="A59" s="71"/>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row>
    <row r="60">
      <c r="A60" s="71"/>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row>
    <row r="61">
      <c r="A61" s="71"/>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row>
    <row r="62">
      <c r="A62" s="71"/>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row>
    <row r="63">
      <c r="A63" s="71"/>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row>
    <row r="64">
      <c r="A64" s="71"/>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row>
    <row r="65">
      <c r="A65" s="71"/>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row>
    <row r="66">
      <c r="A66" s="71"/>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row>
    <row r="67">
      <c r="A67" s="71"/>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row>
    <row r="68">
      <c r="A68" s="71"/>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row>
    <row r="69">
      <c r="A69" s="71"/>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row>
    <row r="70">
      <c r="A70" s="71"/>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row>
    <row r="71">
      <c r="A71" s="71"/>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row>
    <row r="72">
      <c r="A72" s="71"/>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row>
    <row r="73">
      <c r="A73" s="71"/>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row>
    <row r="74">
      <c r="A74" s="71"/>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row>
    <row r="75">
      <c r="A75" s="71"/>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row>
    <row r="76">
      <c r="A76" s="71"/>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row>
    <row r="77">
      <c r="A77" s="71"/>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row>
    <row r="78">
      <c r="A78" s="71"/>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row>
    <row r="79">
      <c r="A79" s="71"/>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row>
    <row r="80">
      <c r="A80" s="71"/>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row>
    <row r="81">
      <c r="A81" s="71"/>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row>
    <row r="82">
      <c r="A82" s="71"/>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row>
    <row r="83">
      <c r="A83" s="71"/>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row>
    <row r="84">
      <c r="A84" s="71"/>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row>
    <row r="85">
      <c r="A85" s="71"/>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row>
    <row r="86">
      <c r="A86" s="71"/>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row>
    <row r="87">
      <c r="A87" s="71"/>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row>
    <row r="88">
      <c r="A88" s="71"/>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row>
    <row r="89">
      <c r="A89" s="71"/>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row>
    <row r="90">
      <c r="A90" s="71"/>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row>
    <row r="91">
      <c r="A91" s="71"/>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row>
    <row r="92">
      <c r="A92" s="71"/>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row>
    <row r="93">
      <c r="A93" s="71"/>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row>
    <row r="94">
      <c r="A94" s="71"/>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row>
    <row r="95">
      <c r="A95" s="71"/>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row>
    <row r="96">
      <c r="A96" s="71"/>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row>
    <row r="97">
      <c r="A97" s="71"/>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row>
    <row r="98">
      <c r="A98" s="71"/>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row>
    <row r="99">
      <c r="A99" s="71"/>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row>
    <row r="100">
      <c r="A100" s="71"/>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row>
    <row r="101">
      <c r="A101" s="71"/>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row>
    <row r="102">
      <c r="A102" s="71"/>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row>
    <row r="103">
      <c r="A103" s="71"/>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row>
    <row r="104">
      <c r="A104" s="71"/>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row>
    <row r="105">
      <c r="A105" s="71"/>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row>
    <row r="106">
      <c r="A106" s="71"/>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row>
    <row r="107">
      <c r="A107" s="71"/>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row>
    <row r="108">
      <c r="A108" s="71"/>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row>
    <row r="109">
      <c r="A109" s="71"/>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row>
    <row r="110">
      <c r="A110" s="71"/>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row>
    <row r="111">
      <c r="A111" s="71"/>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row>
    <row r="112">
      <c r="A112" s="71"/>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row>
    <row r="113">
      <c r="A113" s="71"/>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row>
    <row r="114">
      <c r="A114" s="71"/>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row>
    <row r="115">
      <c r="A115" s="71"/>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row>
    <row r="116">
      <c r="A116" s="71"/>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row>
    <row r="117">
      <c r="A117" s="71"/>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row>
    <row r="118">
      <c r="A118" s="71"/>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row>
    <row r="119">
      <c r="A119" s="71"/>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row>
    <row r="120">
      <c r="A120" s="71"/>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row>
    <row r="121">
      <c r="A121" s="71"/>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row>
    <row r="122">
      <c r="A122" s="71"/>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row>
    <row r="123">
      <c r="A123" s="71"/>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row>
    <row r="124">
      <c r="A124" s="71"/>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row>
    <row r="125">
      <c r="A125" s="71"/>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row>
    <row r="126">
      <c r="A126" s="71"/>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row>
    <row r="127">
      <c r="A127" s="71"/>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row>
    <row r="128">
      <c r="A128" s="71"/>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row>
    <row r="129">
      <c r="A129" s="71"/>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row>
    <row r="130">
      <c r="A130" s="71"/>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row>
    <row r="131">
      <c r="A131" s="71"/>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row>
    <row r="132">
      <c r="A132" s="71"/>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row>
    <row r="133">
      <c r="A133" s="71"/>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row>
    <row r="134">
      <c r="A134" s="71"/>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row>
    <row r="135">
      <c r="A135" s="71"/>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row>
    <row r="136">
      <c r="A136" s="71"/>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row>
    <row r="137">
      <c r="A137" s="71"/>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row>
    <row r="138">
      <c r="A138" s="71"/>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row>
    <row r="139">
      <c r="A139" s="71"/>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row>
    <row r="140">
      <c r="A140" s="71"/>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row>
    <row r="141">
      <c r="A141" s="71"/>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row>
    <row r="142">
      <c r="A142" s="71"/>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row>
    <row r="143">
      <c r="A143" s="71"/>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row>
    <row r="144">
      <c r="A144" s="71"/>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row>
    <row r="145">
      <c r="A145" s="71"/>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row>
    <row r="146">
      <c r="A146" s="71"/>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row>
    <row r="147">
      <c r="A147" s="71"/>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row>
    <row r="148">
      <c r="A148" s="71"/>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row>
    <row r="149">
      <c r="A149" s="71"/>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row>
    <row r="150">
      <c r="A150" s="71"/>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row>
    <row r="151">
      <c r="A151" s="71"/>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row>
    <row r="152">
      <c r="A152" s="71"/>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row>
    <row r="153">
      <c r="A153" s="71"/>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row>
    <row r="154">
      <c r="A154" s="71"/>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row>
    <row r="155">
      <c r="A155" s="71"/>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row>
    <row r="156">
      <c r="A156" s="71"/>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row>
    <row r="157">
      <c r="A157" s="71"/>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row>
    <row r="158">
      <c r="A158" s="71"/>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row>
    <row r="159">
      <c r="A159" s="71"/>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row>
    <row r="160">
      <c r="A160" s="71"/>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row>
    <row r="161">
      <c r="A161" s="71"/>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row>
    <row r="162">
      <c r="A162" s="71"/>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row>
    <row r="163">
      <c r="A163" s="71"/>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row>
    <row r="164">
      <c r="A164" s="71"/>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row>
    <row r="165">
      <c r="A165" s="71"/>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row>
    <row r="166">
      <c r="A166" s="71"/>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row>
    <row r="167">
      <c r="A167" s="71"/>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row>
    <row r="168">
      <c r="A168" s="71"/>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row>
    <row r="169">
      <c r="A169" s="71"/>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row>
    <row r="170">
      <c r="A170" s="71"/>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row>
    <row r="171">
      <c r="A171" s="71"/>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row>
    <row r="172">
      <c r="A172" s="71"/>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row>
    <row r="173">
      <c r="A173" s="71"/>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row>
    <row r="174">
      <c r="A174" s="71"/>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row>
    <row r="175">
      <c r="A175" s="71"/>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row>
    <row r="176">
      <c r="A176" s="71"/>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row>
    <row r="177">
      <c r="A177" s="71"/>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row>
    <row r="178">
      <c r="A178" s="71"/>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row>
    <row r="179">
      <c r="A179" s="71"/>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row>
    <row r="180">
      <c r="A180" s="71"/>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row>
    <row r="181">
      <c r="A181" s="71"/>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row>
    <row r="182">
      <c r="A182" s="71"/>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row>
    <row r="183">
      <c r="A183" s="71"/>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row>
    <row r="184">
      <c r="A184" s="71"/>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row>
    <row r="185">
      <c r="A185" s="71"/>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row>
    <row r="186">
      <c r="A186" s="71"/>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row>
    <row r="187">
      <c r="A187" s="71"/>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row>
    <row r="188">
      <c r="A188" s="71"/>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row>
    <row r="189">
      <c r="A189" s="71"/>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row>
    <row r="190">
      <c r="A190" s="71"/>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row>
    <row r="191">
      <c r="A191" s="71"/>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row>
    <row r="192">
      <c r="A192" s="71"/>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row>
    <row r="193">
      <c r="A193" s="71"/>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row>
    <row r="194">
      <c r="A194" s="71"/>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row>
    <row r="195">
      <c r="A195" s="71"/>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row>
    <row r="196">
      <c r="A196" s="71"/>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row>
    <row r="197">
      <c r="A197" s="71"/>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row>
    <row r="198">
      <c r="A198" s="71"/>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row>
    <row r="199">
      <c r="A199" s="71"/>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row>
    <row r="200">
      <c r="A200" s="71"/>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row>
    <row r="201">
      <c r="A201" s="71"/>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row>
    <row r="202">
      <c r="A202" s="71"/>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row>
    <row r="203">
      <c r="A203" s="71"/>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row>
    <row r="204">
      <c r="A204" s="71"/>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row>
    <row r="205">
      <c r="A205" s="71"/>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row>
    <row r="206">
      <c r="A206" s="71"/>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row>
    <row r="207">
      <c r="A207" s="71"/>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row>
    <row r="208">
      <c r="A208" s="71"/>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row>
    <row r="209">
      <c r="A209" s="71"/>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row>
    <row r="210">
      <c r="A210" s="71"/>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row>
    <row r="211">
      <c r="A211" s="71"/>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row>
    <row r="212">
      <c r="A212" s="71"/>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row>
    <row r="213">
      <c r="A213" s="71"/>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row>
    <row r="214">
      <c r="A214" s="71"/>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row>
    <row r="215">
      <c r="A215" s="71"/>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row>
    <row r="216">
      <c r="A216" s="71"/>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row>
    <row r="217">
      <c r="A217" s="71"/>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row>
    <row r="218">
      <c r="A218" s="71"/>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row>
    <row r="219">
      <c r="A219" s="71"/>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row>
    <row r="220">
      <c r="A220" s="71"/>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row>
    <row r="221">
      <c r="A221" s="71"/>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c r="AN221" s="74"/>
      <c r="AO221" s="74"/>
      <c r="AP221" s="74"/>
      <c r="AQ221" s="74"/>
      <c r="AR221" s="74"/>
      <c r="AS221" s="74"/>
      <c r="AT221" s="74"/>
      <c r="AU221" s="74"/>
      <c r="AV221" s="74"/>
      <c r="AW221" s="74"/>
      <c r="AX221" s="74"/>
      <c r="AY221" s="74"/>
      <c r="AZ221" s="74"/>
    </row>
    <row r="222">
      <c r="A222" s="71"/>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c r="AM222" s="74"/>
      <c r="AN222" s="74"/>
      <c r="AO222" s="74"/>
      <c r="AP222" s="74"/>
      <c r="AQ222" s="74"/>
      <c r="AR222" s="74"/>
      <c r="AS222" s="74"/>
      <c r="AT222" s="74"/>
      <c r="AU222" s="74"/>
      <c r="AV222" s="74"/>
      <c r="AW222" s="74"/>
      <c r="AX222" s="74"/>
      <c r="AY222" s="74"/>
      <c r="AZ222" s="74"/>
    </row>
    <row r="223">
      <c r="A223" s="71"/>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c r="AL223" s="74"/>
      <c r="AM223" s="74"/>
      <c r="AN223" s="74"/>
      <c r="AO223" s="74"/>
      <c r="AP223" s="74"/>
      <c r="AQ223" s="74"/>
      <c r="AR223" s="74"/>
      <c r="AS223" s="74"/>
      <c r="AT223" s="74"/>
      <c r="AU223" s="74"/>
      <c r="AV223" s="74"/>
      <c r="AW223" s="74"/>
      <c r="AX223" s="74"/>
      <c r="AY223" s="74"/>
      <c r="AZ223" s="74"/>
    </row>
    <row r="224">
      <c r="A224" s="71"/>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c r="AL224" s="74"/>
      <c r="AM224" s="74"/>
      <c r="AN224" s="74"/>
      <c r="AO224" s="74"/>
      <c r="AP224" s="74"/>
      <c r="AQ224" s="74"/>
      <c r="AR224" s="74"/>
      <c r="AS224" s="74"/>
      <c r="AT224" s="74"/>
      <c r="AU224" s="74"/>
      <c r="AV224" s="74"/>
      <c r="AW224" s="74"/>
      <c r="AX224" s="74"/>
      <c r="AY224" s="74"/>
      <c r="AZ224" s="74"/>
    </row>
    <row r="225">
      <c r="A225" s="71"/>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c r="AM225" s="74"/>
      <c r="AN225" s="74"/>
      <c r="AO225" s="74"/>
      <c r="AP225" s="74"/>
      <c r="AQ225" s="74"/>
      <c r="AR225" s="74"/>
      <c r="AS225" s="74"/>
      <c r="AT225" s="74"/>
      <c r="AU225" s="74"/>
      <c r="AV225" s="74"/>
      <c r="AW225" s="74"/>
      <c r="AX225" s="74"/>
      <c r="AY225" s="74"/>
      <c r="AZ225" s="74"/>
    </row>
    <row r="226">
      <c r="A226" s="71"/>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c r="AL226" s="74"/>
      <c r="AM226" s="74"/>
      <c r="AN226" s="74"/>
      <c r="AO226" s="74"/>
      <c r="AP226" s="74"/>
      <c r="AQ226" s="74"/>
      <c r="AR226" s="74"/>
      <c r="AS226" s="74"/>
      <c r="AT226" s="74"/>
      <c r="AU226" s="74"/>
      <c r="AV226" s="74"/>
      <c r="AW226" s="74"/>
      <c r="AX226" s="74"/>
      <c r="AY226" s="74"/>
      <c r="AZ226" s="74"/>
    </row>
    <row r="227">
      <c r="A227" s="71"/>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c r="AJ227" s="74"/>
      <c r="AK227" s="74"/>
      <c r="AL227" s="74"/>
      <c r="AM227" s="74"/>
      <c r="AN227" s="74"/>
      <c r="AO227" s="74"/>
      <c r="AP227" s="74"/>
      <c r="AQ227" s="74"/>
      <c r="AR227" s="74"/>
      <c r="AS227" s="74"/>
      <c r="AT227" s="74"/>
      <c r="AU227" s="74"/>
      <c r="AV227" s="74"/>
      <c r="AW227" s="74"/>
      <c r="AX227" s="74"/>
      <c r="AY227" s="74"/>
      <c r="AZ227" s="74"/>
    </row>
    <row r="228">
      <c r="A228" s="71"/>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c r="AL228" s="74"/>
      <c r="AM228" s="74"/>
      <c r="AN228" s="74"/>
      <c r="AO228" s="74"/>
      <c r="AP228" s="74"/>
      <c r="AQ228" s="74"/>
      <c r="AR228" s="74"/>
      <c r="AS228" s="74"/>
      <c r="AT228" s="74"/>
      <c r="AU228" s="74"/>
      <c r="AV228" s="74"/>
      <c r="AW228" s="74"/>
      <c r="AX228" s="74"/>
      <c r="AY228" s="74"/>
      <c r="AZ228" s="74"/>
    </row>
    <row r="229">
      <c r="A229" s="71"/>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c r="AJ229" s="74"/>
      <c r="AK229" s="74"/>
      <c r="AL229" s="74"/>
      <c r="AM229" s="74"/>
      <c r="AN229" s="74"/>
      <c r="AO229" s="74"/>
      <c r="AP229" s="74"/>
      <c r="AQ229" s="74"/>
      <c r="AR229" s="74"/>
      <c r="AS229" s="74"/>
      <c r="AT229" s="74"/>
      <c r="AU229" s="74"/>
      <c r="AV229" s="74"/>
      <c r="AW229" s="74"/>
      <c r="AX229" s="74"/>
      <c r="AY229" s="74"/>
      <c r="AZ229" s="74"/>
    </row>
    <row r="230">
      <c r="A230" s="71"/>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c r="AL230" s="74"/>
      <c r="AM230" s="74"/>
      <c r="AN230" s="74"/>
      <c r="AO230" s="74"/>
      <c r="AP230" s="74"/>
      <c r="AQ230" s="74"/>
      <c r="AR230" s="74"/>
      <c r="AS230" s="74"/>
      <c r="AT230" s="74"/>
      <c r="AU230" s="74"/>
      <c r="AV230" s="74"/>
      <c r="AW230" s="74"/>
      <c r="AX230" s="74"/>
      <c r="AY230" s="74"/>
      <c r="AZ230" s="74"/>
    </row>
    <row r="231">
      <c r="A231" s="71"/>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c r="AL231" s="74"/>
      <c r="AM231" s="74"/>
      <c r="AN231" s="74"/>
      <c r="AO231" s="74"/>
      <c r="AP231" s="74"/>
      <c r="AQ231" s="74"/>
      <c r="AR231" s="74"/>
      <c r="AS231" s="74"/>
      <c r="AT231" s="74"/>
      <c r="AU231" s="74"/>
      <c r="AV231" s="74"/>
      <c r="AW231" s="74"/>
      <c r="AX231" s="74"/>
      <c r="AY231" s="74"/>
      <c r="AZ231" s="74"/>
    </row>
    <row r="232">
      <c r="A232" s="71"/>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c r="AN232" s="74"/>
      <c r="AO232" s="74"/>
      <c r="AP232" s="74"/>
      <c r="AQ232" s="74"/>
      <c r="AR232" s="74"/>
      <c r="AS232" s="74"/>
      <c r="AT232" s="74"/>
      <c r="AU232" s="74"/>
      <c r="AV232" s="74"/>
      <c r="AW232" s="74"/>
      <c r="AX232" s="74"/>
      <c r="AY232" s="74"/>
      <c r="AZ232" s="74"/>
    </row>
    <row r="233">
      <c r="A233" s="71"/>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c r="AN233" s="74"/>
      <c r="AO233" s="74"/>
      <c r="AP233" s="74"/>
      <c r="AQ233" s="74"/>
      <c r="AR233" s="74"/>
      <c r="AS233" s="74"/>
      <c r="AT233" s="74"/>
      <c r="AU233" s="74"/>
      <c r="AV233" s="74"/>
      <c r="AW233" s="74"/>
      <c r="AX233" s="74"/>
      <c r="AY233" s="74"/>
      <c r="AZ233" s="74"/>
    </row>
    <row r="234">
      <c r="A234" s="71"/>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c r="AM234" s="74"/>
      <c r="AN234" s="74"/>
      <c r="AO234" s="74"/>
      <c r="AP234" s="74"/>
      <c r="AQ234" s="74"/>
      <c r="AR234" s="74"/>
      <c r="AS234" s="74"/>
      <c r="AT234" s="74"/>
      <c r="AU234" s="74"/>
      <c r="AV234" s="74"/>
      <c r="AW234" s="74"/>
      <c r="AX234" s="74"/>
      <c r="AY234" s="74"/>
      <c r="AZ234" s="74"/>
    </row>
    <row r="235">
      <c r="A235" s="71"/>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c r="AL235" s="74"/>
      <c r="AM235" s="74"/>
      <c r="AN235" s="74"/>
      <c r="AO235" s="74"/>
      <c r="AP235" s="74"/>
      <c r="AQ235" s="74"/>
      <c r="AR235" s="74"/>
      <c r="AS235" s="74"/>
      <c r="AT235" s="74"/>
      <c r="AU235" s="74"/>
      <c r="AV235" s="74"/>
      <c r="AW235" s="74"/>
      <c r="AX235" s="74"/>
      <c r="AY235" s="74"/>
      <c r="AZ235" s="74"/>
    </row>
    <row r="236">
      <c r="A236" s="71"/>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c r="AJ236" s="74"/>
      <c r="AK236" s="74"/>
      <c r="AL236" s="74"/>
      <c r="AM236" s="74"/>
      <c r="AN236" s="74"/>
      <c r="AO236" s="74"/>
      <c r="AP236" s="74"/>
      <c r="AQ236" s="74"/>
      <c r="AR236" s="74"/>
      <c r="AS236" s="74"/>
      <c r="AT236" s="74"/>
      <c r="AU236" s="74"/>
      <c r="AV236" s="74"/>
      <c r="AW236" s="74"/>
      <c r="AX236" s="74"/>
      <c r="AY236" s="74"/>
      <c r="AZ236" s="74"/>
    </row>
    <row r="237">
      <c r="A237" s="71"/>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c r="AJ237" s="74"/>
      <c r="AK237" s="74"/>
      <c r="AL237" s="74"/>
      <c r="AM237" s="74"/>
      <c r="AN237" s="74"/>
      <c r="AO237" s="74"/>
      <c r="AP237" s="74"/>
      <c r="AQ237" s="74"/>
      <c r="AR237" s="74"/>
      <c r="AS237" s="74"/>
      <c r="AT237" s="74"/>
      <c r="AU237" s="74"/>
      <c r="AV237" s="74"/>
      <c r="AW237" s="74"/>
      <c r="AX237" s="74"/>
      <c r="AY237" s="74"/>
      <c r="AZ237" s="74"/>
    </row>
    <row r="238">
      <c r="A238" s="71"/>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c r="AL238" s="74"/>
      <c r="AM238" s="74"/>
      <c r="AN238" s="74"/>
      <c r="AO238" s="74"/>
      <c r="AP238" s="74"/>
      <c r="AQ238" s="74"/>
      <c r="AR238" s="74"/>
      <c r="AS238" s="74"/>
      <c r="AT238" s="74"/>
      <c r="AU238" s="74"/>
      <c r="AV238" s="74"/>
      <c r="AW238" s="74"/>
      <c r="AX238" s="74"/>
      <c r="AY238" s="74"/>
      <c r="AZ238" s="74"/>
    </row>
    <row r="239">
      <c r="A239" s="71"/>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74"/>
      <c r="AU239" s="74"/>
      <c r="AV239" s="74"/>
      <c r="AW239" s="74"/>
      <c r="AX239" s="74"/>
      <c r="AY239" s="74"/>
      <c r="AZ239" s="74"/>
    </row>
    <row r="240">
      <c r="A240" s="71"/>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c r="AM240" s="74"/>
      <c r="AN240" s="74"/>
      <c r="AO240" s="74"/>
      <c r="AP240" s="74"/>
      <c r="AQ240" s="74"/>
      <c r="AR240" s="74"/>
      <c r="AS240" s="74"/>
      <c r="AT240" s="74"/>
      <c r="AU240" s="74"/>
      <c r="AV240" s="74"/>
      <c r="AW240" s="74"/>
      <c r="AX240" s="74"/>
      <c r="AY240" s="74"/>
      <c r="AZ240" s="74"/>
    </row>
    <row r="241">
      <c r="A241" s="71"/>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c r="AM241" s="74"/>
      <c r="AN241" s="74"/>
      <c r="AO241" s="74"/>
      <c r="AP241" s="74"/>
      <c r="AQ241" s="74"/>
      <c r="AR241" s="74"/>
      <c r="AS241" s="74"/>
      <c r="AT241" s="74"/>
      <c r="AU241" s="74"/>
      <c r="AV241" s="74"/>
      <c r="AW241" s="74"/>
      <c r="AX241" s="74"/>
      <c r="AY241" s="74"/>
      <c r="AZ241" s="74"/>
    </row>
    <row r="242">
      <c r="A242" s="71"/>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c r="AL242" s="74"/>
      <c r="AM242" s="74"/>
      <c r="AN242" s="74"/>
      <c r="AO242" s="74"/>
      <c r="AP242" s="74"/>
      <c r="AQ242" s="74"/>
      <c r="AR242" s="74"/>
      <c r="AS242" s="74"/>
      <c r="AT242" s="74"/>
      <c r="AU242" s="74"/>
      <c r="AV242" s="74"/>
      <c r="AW242" s="74"/>
      <c r="AX242" s="74"/>
      <c r="AY242" s="74"/>
      <c r="AZ242" s="74"/>
    </row>
    <row r="243">
      <c r="A243" s="71"/>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c r="AL243" s="74"/>
      <c r="AM243" s="74"/>
      <c r="AN243" s="74"/>
      <c r="AO243" s="74"/>
      <c r="AP243" s="74"/>
      <c r="AQ243" s="74"/>
      <c r="AR243" s="74"/>
      <c r="AS243" s="74"/>
      <c r="AT243" s="74"/>
      <c r="AU243" s="74"/>
      <c r="AV243" s="74"/>
      <c r="AW243" s="74"/>
      <c r="AX243" s="74"/>
      <c r="AY243" s="74"/>
      <c r="AZ243" s="74"/>
    </row>
    <row r="244">
      <c r="A244" s="71"/>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c r="AM244" s="74"/>
      <c r="AN244" s="74"/>
      <c r="AO244" s="74"/>
      <c r="AP244" s="74"/>
      <c r="AQ244" s="74"/>
      <c r="AR244" s="74"/>
      <c r="AS244" s="74"/>
      <c r="AT244" s="74"/>
      <c r="AU244" s="74"/>
      <c r="AV244" s="74"/>
      <c r="AW244" s="74"/>
      <c r="AX244" s="74"/>
      <c r="AY244" s="74"/>
      <c r="AZ244" s="74"/>
    </row>
    <row r="245">
      <c r="A245" s="71"/>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c r="AN245" s="74"/>
      <c r="AO245" s="74"/>
      <c r="AP245" s="74"/>
      <c r="AQ245" s="74"/>
      <c r="AR245" s="74"/>
      <c r="AS245" s="74"/>
      <c r="AT245" s="74"/>
      <c r="AU245" s="74"/>
      <c r="AV245" s="74"/>
      <c r="AW245" s="74"/>
      <c r="AX245" s="74"/>
      <c r="AY245" s="74"/>
      <c r="AZ245" s="74"/>
    </row>
    <row r="246">
      <c r="A246" s="71"/>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c r="AL246" s="74"/>
      <c r="AM246" s="74"/>
      <c r="AN246" s="74"/>
      <c r="AO246" s="74"/>
      <c r="AP246" s="74"/>
      <c r="AQ246" s="74"/>
      <c r="AR246" s="74"/>
      <c r="AS246" s="74"/>
      <c r="AT246" s="74"/>
      <c r="AU246" s="74"/>
      <c r="AV246" s="74"/>
      <c r="AW246" s="74"/>
      <c r="AX246" s="74"/>
      <c r="AY246" s="74"/>
      <c r="AZ246" s="74"/>
    </row>
    <row r="247">
      <c r="A247" s="71"/>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c r="AL247" s="74"/>
      <c r="AM247" s="74"/>
      <c r="AN247" s="74"/>
      <c r="AO247" s="74"/>
      <c r="AP247" s="74"/>
      <c r="AQ247" s="74"/>
      <c r="AR247" s="74"/>
      <c r="AS247" s="74"/>
      <c r="AT247" s="74"/>
      <c r="AU247" s="74"/>
      <c r="AV247" s="74"/>
      <c r="AW247" s="74"/>
      <c r="AX247" s="74"/>
      <c r="AY247" s="74"/>
      <c r="AZ247" s="74"/>
    </row>
    <row r="248">
      <c r="A248" s="71"/>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c r="AM248" s="74"/>
      <c r="AN248" s="74"/>
      <c r="AO248" s="74"/>
      <c r="AP248" s="74"/>
      <c r="AQ248" s="74"/>
      <c r="AR248" s="74"/>
      <c r="AS248" s="74"/>
      <c r="AT248" s="74"/>
      <c r="AU248" s="74"/>
      <c r="AV248" s="74"/>
      <c r="AW248" s="74"/>
      <c r="AX248" s="74"/>
      <c r="AY248" s="74"/>
      <c r="AZ248" s="74"/>
    </row>
    <row r="249">
      <c r="A249" s="71"/>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c r="AN249" s="74"/>
      <c r="AO249" s="74"/>
      <c r="AP249" s="74"/>
      <c r="AQ249" s="74"/>
      <c r="AR249" s="74"/>
      <c r="AS249" s="74"/>
      <c r="AT249" s="74"/>
      <c r="AU249" s="74"/>
      <c r="AV249" s="74"/>
      <c r="AW249" s="74"/>
      <c r="AX249" s="74"/>
      <c r="AY249" s="74"/>
      <c r="AZ249" s="74"/>
    </row>
    <row r="250">
      <c r="A250" s="71"/>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c r="AN250" s="74"/>
      <c r="AO250" s="74"/>
      <c r="AP250" s="74"/>
      <c r="AQ250" s="74"/>
      <c r="AR250" s="74"/>
      <c r="AS250" s="74"/>
      <c r="AT250" s="74"/>
      <c r="AU250" s="74"/>
      <c r="AV250" s="74"/>
      <c r="AW250" s="74"/>
      <c r="AX250" s="74"/>
      <c r="AY250" s="74"/>
      <c r="AZ250" s="74"/>
    </row>
    <row r="251">
      <c r="A251" s="71"/>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c r="AN251" s="74"/>
      <c r="AO251" s="74"/>
      <c r="AP251" s="74"/>
      <c r="AQ251" s="74"/>
      <c r="AR251" s="74"/>
      <c r="AS251" s="74"/>
      <c r="AT251" s="74"/>
      <c r="AU251" s="74"/>
      <c r="AV251" s="74"/>
      <c r="AW251" s="74"/>
      <c r="AX251" s="74"/>
      <c r="AY251" s="74"/>
      <c r="AZ251" s="74"/>
    </row>
    <row r="252">
      <c r="A252" s="71"/>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c r="AL252" s="74"/>
      <c r="AM252" s="74"/>
      <c r="AN252" s="74"/>
      <c r="AO252" s="74"/>
      <c r="AP252" s="74"/>
      <c r="AQ252" s="74"/>
      <c r="AR252" s="74"/>
      <c r="AS252" s="74"/>
      <c r="AT252" s="74"/>
      <c r="AU252" s="74"/>
      <c r="AV252" s="74"/>
      <c r="AW252" s="74"/>
      <c r="AX252" s="74"/>
      <c r="AY252" s="74"/>
      <c r="AZ252" s="74"/>
    </row>
    <row r="253">
      <c r="A253" s="71"/>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c r="AL253" s="74"/>
      <c r="AM253" s="74"/>
      <c r="AN253" s="74"/>
      <c r="AO253" s="74"/>
      <c r="AP253" s="74"/>
      <c r="AQ253" s="74"/>
      <c r="AR253" s="74"/>
      <c r="AS253" s="74"/>
      <c r="AT253" s="74"/>
      <c r="AU253" s="74"/>
      <c r="AV253" s="74"/>
      <c r="AW253" s="74"/>
      <c r="AX253" s="74"/>
      <c r="AY253" s="74"/>
      <c r="AZ253" s="74"/>
    </row>
    <row r="254">
      <c r="A254" s="71"/>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c r="AM254" s="74"/>
      <c r="AN254" s="74"/>
      <c r="AO254" s="74"/>
      <c r="AP254" s="74"/>
      <c r="AQ254" s="74"/>
      <c r="AR254" s="74"/>
      <c r="AS254" s="74"/>
      <c r="AT254" s="74"/>
      <c r="AU254" s="74"/>
      <c r="AV254" s="74"/>
      <c r="AW254" s="74"/>
      <c r="AX254" s="74"/>
      <c r="AY254" s="74"/>
      <c r="AZ254" s="74"/>
    </row>
    <row r="255">
      <c r="A255" s="71"/>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c r="AM255" s="74"/>
      <c r="AN255" s="74"/>
      <c r="AO255" s="74"/>
      <c r="AP255" s="74"/>
      <c r="AQ255" s="74"/>
      <c r="AR255" s="74"/>
      <c r="AS255" s="74"/>
      <c r="AT255" s="74"/>
      <c r="AU255" s="74"/>
      <c r="AV255" s="74"/>
      <c r="AW255" s="74"/>
      <c r="AX255" s="74"/>
      <c r="AY255" s="74"/>
      <c r="AZ255" s="74"/>
    </row>
    <row r="256">
      <c r="A256" s="71"/>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c r="AJ256" s="74"/>
      <c r="AK256" s="74"/>
      <c r="AL256" s="74"/>
      <c r="AM256" s="74"/>
      <c r="AN256" s="74"/>
      <c r="AO256" s="74"/>
      <c r="AP256" s="74"/>
      <c r="AQ256" s="74"/>
      <c r="AR256" s="74"/>
      <c r="AS256" s="74"/>
      <c r="AT256" s="74"/>
      <c r="AU256" s="74"/>
      <c r="AV256" s="74"/>
      <c r="AW256" s="74"/>
      <c r="AX256" s="74"/>
      <c r="AY256" s="74"/>
      <c r="AZ256" s="74"/>
    </row>
    <row r="257">
      <c r="A257" s="71"/>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c r="AL257" s="74"/>
      <c r="AM257" s="74"/>
      <c r="AN257" s="74"/>
      <c r="AO257" s="74"/>
      <c r="AP257" s="74"/>
      <c r="AQ257" s="74"/>
      <c r="AR257" s="74"/>
      <c r="AS257" s="74"/>
      <c r="AT257" s="74"/>
      <c r="AU257" s="74"/>
      <c r="AV257" s="74"/>
      <c r="AW257" s="74"/>
      <c r="AX257" s="74"/>
      <c r="AY257" s="74"/>
      <c r="AZ257" s="74"/>
    </row>
    <row r="258">
      <c r="A258" s="71"/>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c r="AL258" s="74"/>
      <c r="AM258" s="74"/>
      <c r="AN258" s="74"/>
      <c r="AO258" s="74"/>
      <c r="AP258" s="74"/>
      <c r="AQ258" s="74"/>
      <c r="AR258" s="74"/>
      <c r="AS258" s="74"/>
      <c r="AT258" s="74"/>
      <c r="AU258" s="74"/>
      <c r="AV258" s="74"/>
      <c r="AW258" s="74"/>
      <c r="AX258" s="74"/>
      <c r="AY258" s="74"/>
      <c r="AZ258" s="74"/>
    </row>
    <row r="259">
      <c r="A259" s="71"/>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c r="AJ259" s="74"/>
      <c r="AK259" s="74"/>
      <c r="AL259" s="74"/>
      <c r="AM259" s="74"/>
      <c r="AN259" s="74"/>
      <c r="AO259" s="74"/>
      <c r="AP259" s="74"/>
      <c r="AQ259" s="74"/>
      <c r="AR259" s="74"/>
      <c r="AS259" s="74"/>
      <c r="AT259" s="74"/>
      <c r="AU259" s="74"/>
      <c r="AV259" s="74"/>
      <c r="AW259" s="74"/>
      <c r="AX259" s="74"/>
      <c r="AY259" s="74"/>
      <c r="AZ259" s="74"/>
    </row>
    <row r="260">
      <c r="A260" s="71"/>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c r="AN260" s="74"/>
      <c r="AO260" s="74"/>
      <c r="AP260" s="74"/>
      <c r="AQ260" s="74"/>
      <c r="AR260" s="74"/>
      <c r="AS260" s="74"/>
      <c r="AT260" s="74"/>
      <c r="AU260" s="74"/>
      <c r="AV260" s="74"/>
      <c r="AW260" s="74"/>
      <c r="AX260" s="74"/>
      <c r="AY260" s="74"/>
      <c r="AZ260" s="74"/>
    </row>
    <row r="261">
      <c r="A261" s="71"/>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c r="AM261" s="74"/>
      <c r="AN261" s="74"/>
      <c r="AO261" s="74"/>
      <c r="AP261" s="74"/>
      <c r="AQ261" s="74"/>
      <c r="AR261" s="74"/>
      <c r="AS261" s="74"/>
      <c r="AT261" s="74"/>
      <c r="AU261" s="74"/>
      <c r="AV261" s="74"/>
      <c r="AW261" s="74"/>
      <c r="AX261" s="74"/>
      <c r="AY261" s="74"/>
      <c r="AZ261" s="74"/>
    </row>
    <row r="262">
      <c r="A262" s="71"/>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c r="AL262" s="74"/>
      <c r="AM262" s="74"/>
      <c r="AN262" s="74"/>
      <c r="AO262" s="74"/>
      <c r="AP262" s="74"/>
      <c r="AQ262" s="74"/>
      <c r="AR262" s="74"/>
      <c r="AS262" s="74"/>
      <c r="AT262" s="74"/>
      <c r="AU262" s="74"/>
      <c r="AV262" s="74"/>
      <c r="AW262" s="74"/>
      <c r="AX262" s="74"/>
      <c r="AY262" s="74"/>
      <c r="AZ262" s="74"/>
    </row>
    <row r="263">
      <c r="A263" s="71"/>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c r="AL263" s="74"/>
      <c r="AM263" s="74"/>
      <c r="AN263" s="74"/>
      <c r="AO263" s="74"/>
      <c r="AP263" s="74"/>
      <c r="AQ263" s="74"/>
      <c r="AR263" s="74"/>
      <c r="AS263" s="74"/>
      <c r="AT263" s="74"/>
      <c r="AU263" s="74"/>
      <c r="AV263" s="74"/>
      <c r="AW263" s="74"/>
      <c r="AX263" s="74"/>
      <c r="AY263" s="74"/>
      <c r="AZ263" s="74"/>
    </row>
    <row r="264">
      <c r="A264" s="71"/>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c r="AJ264" s="74"/>
      <c r="AK264" s="74"/>
      <c r="AL264" s="74"/>
      <c r="AM264" s="74"/>
      <c r="AN264" s="74"/>
      <c r="AO264" s="74"/>
      <c r="AP264" s="74"/>
      <c r="AQ264" s="74"/>
      <c r="AR264" s="74"/>
      <c r="AS264" s="74"/>
      <c r="AT264" s="74"/>
      <c r="AU264" s="74"/>
      <c r="AV264" s="74"/>
      <c r="AW264" s="74"/>
      <c r="AX264" s="74"/>
      <c r="AY264" s="74"/>
      <c r="AZ264" s="74"/>
    </row>
    <row r="265">
      <c r="A265" s="71"/>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c r="AJ265" s="74"/>
      <c r="AK265" s="74"/>
      <c r="AL265" s="74"/>
      <c r="AM265" s="74"/>
      <c r="AN265" s="74"/>
      <c r="AO265" s="74"/>
      <c r="AP265" s="74"/>
      <c r="AQ265" s="74"/>
      <c r="AR265" s="74"/>
      <c r="AS265" s="74"/>
      <c r="AT265" s="74"/>
      <c r="AU265" s="74"/>
      <c r="AV265" s="74"/>
      <c r="AW265" s="74"/>
      <c r="AX265" s="74"/>
      <c r="AY265" s="74"/>
      <c r="AZ265" s="74"/>
    </row>
    <row r="266">
      <c r="A266" s="71"/>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c r="AL266" s="74"/>
      <c r="AM266" s="74"/>
      <c r="AN266" s="74"/>
      <c r="AO266" s="74"/>
      <c r="AP266" s="74"/>
      <c r="AQ266" s="74"/>
      <c r="AR266" s="74"/>
      <c r="AS266" s="74"/>
      <c r="AT266" s="74"/>
      <c r="AU266" s="74"/>
      <c r="AV266" s="74"/>
      <c r="AW266" s="74"/>
      <c r="AX266" s="74"/>
      <c r="AY266" s="74"/>
      <c r="AZ266" s="74"/>
    </row>
    <row r="267">
      <c r="A267" s="71"/>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c r="AL267" s="74"/>
      <c r="AM267" s="74"/>
      <c r="AN267" s="74"/>
      <c r="AO267" s="74"/>
      <c r="AP267" s="74"/>
      <c r="AQ267" s="74"/>
      <c r="AR267" s="74"/>
      <c r="AS267" s="74"/>
      <c r="AT267" s="74"/>
      <c r="AU267" s="74"/>
      <c r="AV267" s="74"/>
      <c r="AW267" s="74"/>
      <c r="AX267" s="74"/>
      <c r="AY267" s="74"/>
      <c r="AZ267" s="74"/>
    </row>
    <row r="268">
      <c r="A268" s="71"/>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c r="AM268" s="74"/>
      <c r="AN268" s="74"/>
      <c r="AO268" s="74"/>
      <c r="AP268" s="74"/>
      <c r="AQ268" s="74"/>
      <c r="AR268" s="74"/>
      <c r="AS268" s="74"/>
      <c r="AT268" s="74"/>
      <c r="AU268" s="74"/>
      <c r="AV268" s="74"/>
      <c r="AW268" s="74"/>
      <c r="AX268" s="74"/>
      <c r="AY268" s="74"/>
      <c r="AZ268" s="74"/>
    </row>
    <row r="269">
      <c r="A269" s="71"/>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c r="AL269" s="74"/>
      <c r="AM269" s="74"/>
      <c r="AN269" s="74"/>
      <c r="AO269" s="74"/>
      <c r="AP269" s="74"/>
      <c r="AQ269" s="74"/>
      <c r="AR269" s="74"/>
      <c r="AS269" s="74"/>
      <c r="AT269" s="74"/>
      <c r="AU269" s="74"/>
      <c r="AV269" s="74"/>
      <c r="AW269" s="74"/>
      <c r="AX269" s="74"/>
      <c r="AY269" s="74"/>
      <c r="AZ269" s="74"/>
    </row>
    <row r="270">
      <c r="A270" s="71"/>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c r="AJ270" s="74"/>
      <c r="AK270" s="74"/>
      <c r="AL270" s="74"/>
      <c r="AM270" s="74"/>
      <c r="AN270" s="74"/>
      <c r="AO270" s="74"/>
      <c r="AP270" s="74"/>
      <c r="AQ270" s="74"/>
      <c r="AR270" s="74"/>
      <c r="AS270" s="74"/>
      <c r="AT270" s="74"/>
      <c r="AU270" s="74"/>
      <c r="AV270" s="74"/>
      <c r="AW270" s="74"/>
      <c r="AX270" s="74"/>
      <c r="AY270" s="74"/>
      <c r="AZ270" s="74"/>
    </row>
    <row r="271">
      <c r="A271" s="71"/>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c r="AJ271" s="74"/>
      <c r="AK271" s="74"/>
      <c r="AL271" s="74"/>
      <c r="AM271" s="74"/>
      <c r="AN271" s="74"/>
      <c r="AO271" s="74"/>
      <c r="AP271" s="74"/>
      <c r="AQ271" s="74"/>
      <c r="AR271" s="74"/>
      <c r="AS271" s="74"/>
      <c r="AT271" s="74"/>
      <c r="AU271" s="74"/>
      <c r="AV271" s="74"/>
      <c r="AW271" s="74"/>
      <c r="AX271" s="74"/>
      <c r="AY271" s="74"/>
      <c r="AZ271" s="74"/>
    </row>
    <row r="272">
      <c r="A272" s="71"/>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c r="AL272" s="74"/>
      <c r="AM272" s="74"/>
      <c r="AN272" s="74"/>
      <c r="AO272" s="74"/>
      <c r="AP272" s="74"/>
      <c r="AQ272" s="74"/>
      <c r="AR272" s="74"/>
      <c r="AS272" s="74"/>
      <c r="AT272" s="74"/>
      <c r="AU272" s="74"/>
      <c r="AV272" s="74"/>
      <c r="AW272" s="74"/>
      <c r="AX272" s="74"/>
      <c r="AY272" s="74"/>
      <c r="AZ272" s="74"/>
    </row>
    <row r="273">
      <c r="A273" s="71"/>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c r="AL273" s="74"/>
      <c r="AM273" s="74"/>
      <c r="AN273" s="74"/>
      <c r="AO273" s="74"/>
      <c r="AP273" s="74"/>
      <c r="AQ273" s="74"/>
      <c r="AR273" s="74"/>
      <c r="AS273" s="74"/>
      <c r="AT273" s="74"/>
      <c r="AU273" s="74"/>
      <c r="AV273" s="74"/>
      <c r="AW273" s="74"/>
      <c r="AX273" s="74"/>
      <c r="AY273" s="74"/>
      <c r="AZ273" s="74"/>
    </row>
    <row r="274">
      <c r="A274" s="71"/>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c r="AL274" s="74"/>
      <c r="AM274" s="74"/>
      <c r="AN274" s="74"/>
      <c r="AO274" s="74"/>
      <c r="AP274" s="74"/>
      <c r="AQ274" s="74"/>
      <c r="AR274" s="74"/>
      <c r="AS274" s="74"/>
      <c r="AT274" s="74"/>
      <c r="AU274" s="74"/>
      <c r="AV274" s="74"/>
      <c r="AW274" s="74"/>
      <c r="AX274" s="74"/>
      <c r="AY274" s="74"/>
      <c r="AZ274" s="74"/>
    </row>
    <row r="275">
      <c r="A275" s="71"/>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c r="AL275" s="74"/>
      <c r="AM275" s="74"/>
      <c r="AN275" s="74"/>
      <c r="AO275" s="74"/>
      <c r="AP275" s="74"/>
      <c r="AQ275" s="74"/>
      <c r="AR275" s="74"/>
      <c r="AS275" s="74"/>
      <c r="AT275" s="74"/>
      <c r="AU275" s="74"/>
      <c r="AV275" s="74"/>
      <c r="AW275" s="74"/>
      <c r="AX275" s="74"/>
      <c r="AY275" s="74"/>
      <c r="AZ275" s="74"/>
    </row>
    <row r="276">
      <c r="A276" s="71"/>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c r="AL276" s="74"/>
      <c r="AM276" s="74"/>
      <c r="AN276" s="74"/>
      <c r="AO276" s="74"/>
      <c r="AP276" s="74"/>
      <c r="AQ276" s="74"/>
      <c r="AR276" s="74"/>
      <c r="AS276" s="74"/>
      <c r="AT276" s="74"/>
      <c r="AU276" s="74"/>
      <c r="AV276" s="74"/>
      <c r="AW276" s="74"/>
      <c r="AX276" s="74"/>
      <c r="AY276" s="74"/>
      <c r="AZ276" s="74"/>
    </row>
    <row r="277">
      <c r="A277" s="71"/>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c r="AN277" s="74"/>
      <c r="AO277" s="74"/>
      <c r="AP277" s="74"/>
      <c r="AQ277" s="74"/>
      <c r="AR277" s="74"/>
      <c r="AS277" s="74"/>
      <c r="AT277" s="74"/>
      <c r="AU277" s="74"/>
      <c r="AV277" s="74"/>
      <c r="AW277" s="74"/>
      <c r="AX277" s="74"/>
      <c r="AY277" s="74"/>
      <c r="AZ277" s="74"/>
    </row>
    <row r="278">
      <c r="A278" s="71"/>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c r="AJ278" s="74"/>
      <c r="AK278" s="74"/>
      <c r="AL278" s="74"/>
      <c r="AM278" s="74"/>
      <c r="AN278" s="74"/>
      <c r="AO278" s="74"/>
      <c r="AP278" s="74"/>
      <c r="AQ278" s="74"/>
      <c r="AR278" s="74"/>
      <c r="AS278" s="74"/>
      <c r="AT278" s="74"/>
      <c r="AU278" s="74"/>
      <c r="AV278" s="74"/>
      <c r="AW278" s="74"/>
      <c r="AX278" s="74"/>
      <c r="AY278" s="74"/>
      <c r="AZ278" s="74"/>
    </row>
    <row r="279">
      <c r="A279" s="71"/>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c r="AJ279" s="74"/>
      <c r="AK279" s="74"/>
      <c r="AL279" s="74"/>
      <c r="AM279" s="74"/>
      <c r="AN279" s="74"/>
      <c r="AO279" s="74"/>
      <c r="AP279" s="74"/>
      <c r="AQ279" s="74"/>
      <c r="AR279" s="74"/>
      <c r="AS279" s="74"/>
      <c r="AT279" s="74"/>
      <c r="AU279" s="74"/>
      <c r="AV279" s="74"/>
      <c r="AW279" s="74"/>
      <c r="AX279" s="74"/>
      <c r="AY279" s="74"/>
      <c r="AZ279" s="74"/>
    </row>
    <row r="280">
      <c r="A280" s="71"/>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c r="AL280" s="74"/>
      <c r="AM280" s="74"/>
      <c r="AN280" s="74"/>
      <c r="AO280" s="74"/>
      <c r="AP280" s="74"/>
      <c r="AQ280" s="74"/>
      <c r="AR280" s="74"/>
      <c r="AS280" s="74"/>
      <c r="AT280" s="74"/>
      <c r="AU280" s="74"/>
      <c r="AV280" s="74"/>
      <c r="AW280" s="74"/>
      <c r="AX280" s="74"/>
      <c r="AY280" s="74"/>
      <c r="AZ280" s="74"/>
    </row>
    <row r="281">
      <c r="A281" s="71"/>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c r="AL281" s="74"/>
      <c r="AM281" s="74"/>
      <c r="AN281" s="74"/>
      <c r="AO281" s="74"/>
      <c r="AP281" s="74"/>
      <c r="AQ281" s="74"/>
      <c r="AR281" s="74"/>
      <c r="AS281" s="74"/>
      <c r="AT281" s="74"/>
      <c r="AU281" s="74"/>
      <c r="AV281" s="74"/>
      <c r="AW281" s="74"/>
      <c r="AX281" s="74"/>
      <c r="AY281" s="74"/>
      <c r="AZ281" s="74"/>
    </row>
    <row r="282">
      <c r="A282" s="71"/>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c r="AL282" s="74"/>
      <c r="AM282" s="74"/>
      <c r="AN282" s="74"/>
      <c r="AO282" s="74"/>
      <c r="AP282" s="74"/>
      <c r="AQ282" s="74"/>
      <c r="AR282" s="74"/>
      <c r="AS282" s="74"/>
      <c r="AT282" s="74"/>
      <c r="AU282" s="74"/>
      <c r="AV282" s="74"/>
      <c r="AW282" s="74"/>
      <c r="AX282" s="74"/>
      <c r="AY282" s="74"/>
      <c r="AZ282" s="74"/>
    </row>
    <row r="283">
      <c r="A283" s="71"/>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c r="AM283" s="74"/>
      <c r="AN283" s="74"/>
      <c r="AO283" s="74"/>
      <c r="AP283" s="74"/>
      <c r="AQ283" s="74"/>
      <c r="AR283" s="74"/>
      <c r="AS283" s="74"/>
      <c r="AT283" s="74"/>
      <c r="AU283" s="74"/>
      <c r="AV283" s="74"/>
      <c r="AW283" s="74"/>
      <c r="AX283" s="74"/>
      <c r="AY283" s="74"/>
      <c r="AZ283" s="74"/>
    </row>
    <row r="284">
      <c r="A284" s="71"/>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c r="AM284" s="74"/>
      <c r="AN284" s="74"/>
      <c r="AO284" s="74"/>
      <c r="AP284" s="74"/>
      <c r="AQ284" s="74"/>
      <c r="AR284" s="74"/>
      <c r="AS284" s="74"/>
      <c r="AT284" s="74"/>
      <c r="AU284" s="74"/>
      <c r="AV284" s="74"/>
      <c r="AW284" s="74"/>
      <c r="AX284" s="74"/>
      <c r="AY284" s="74"/>
      <c r="AZ284" s="74"/>
    </row>
    <row r="285">
      <c r="A285" s="71"/>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c r="AL285" s="74"/>
      <c r="AM285" s="74"/>
      <c r="AN285" s="74"/>
      <c r="AO285" s="74"/>
      <c r="AP285" s="74"/>
      <c r="AQ285" s="74"/>
      <c r="AR285" s="74"/>
      <c r="AS285" s="74"/>
      <c r="AT285" s="74"/>
      <c r="AU285" s="74"/>
      <c r="AV285" s="74"/>
      <c r="AW285" s="74"/>
      <c r="AX285" s="74"/>
      <c r="AY285" s="74"/>
      <c r="AZ285" s="74"/>
    </row>
    <row r="286">
      <c r="A286" s="71"/>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c r="AL286" s="74"/>
      <c r="AM286" s="74"/>
      <c r="AN286" s="74"/>
      <c r="AO286" s="74"/>
      <c r="AP286" s="74"/>
      <c r="AQ286" s="74"/>
      <c r="AR286" s="74"/>
      <c r="AS286" s="74"/>
      <c r="AT286" s="74"/>
      <c r="AU286" s="74"/>
      <c r="AV286" s="74"/>
      <c r="AW286" s="74"/>
      <c r="AX286" s="74"/>
      <c r="AY286" s="74"/>
      <c r="AZ286" s="74"/>
    </row>
    <row r="287">
      <c r="A287" s="71"/>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c r="AN287" s="74"/>
      <c r="AO287" s="74"/>
      <c r="AP287" s="74"/>
      <c r="AQ287" s="74"/>
      <c r="AR287" s="74"/>
      <c r="AS287" s="74"/>
      <c r="AT287" s="74"/>
      <c r="AU287" s="74"/>
      <c r="AV287" s="74"/>
      <c r="AW287" s="74"/>
      <c r="AX287" s="74"/>
      <c r="AY287" s="74"/>
      <c r="AZ287" s="74"/>
    </row>
    <row r="288">
      <c r="A288" s="71"/>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c r="AJ288" s="74"/>
      <c r="AK288" s="74"/>
      <c r="AL288" s="74"/>
      <c r="AM288" s="74"/>
      <c r="AN288" s="74"/>
      <c r="AO288" s="74"/>
      <c r="AP288" s="74"/>
      <c r="AQ288" s="74"/>
      <c r="AR288" s="74"/>
      <c r="AS288" s="74"/>
      <c r="AT288" s="74"/>
      <c r="AU288" s="74"/>
      <c r="AV288" s="74"/>
      <c r="AW288" s="74"/>
      <c r="AX288" s="74"/>
      <c r="AY288" s="74"/>
      <c r="AZ288" s="74"/>
    </row>
    <row r="289">
      <c r="A289" s="71"/>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c r="AJ289" s="74"/>
      <c r="AK289" s="74"/>
      <c r="AL289" s="74"/>
      <c r="AM289" s="74"/>
      <c r="AN289" s="74"/>
      <c r="AO289" s="74"/>
      <c r="AP289" s="74"/>
      <c r="AQ289" s="74"/>
      <c r="AR289" s="74"/>
      <c r="AS289" s="74"/>
      <c r="AT289" s="74"/>
      <c r="AU289" s="74"/>
      <c r="AV289" s="74"/>
      <c r="AW289" s="74"/>
      <c r="AX289" s="74"/>
      <c r="AY289" s="74"/>
      <c r="AZ289" s="74"/>
    </row>
    <row r="290">
      <c r="A290" s="71"/>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c r="AL290" s="74"/>
      <c r="AM290" s="74"/>
      <c r="AN290" s="74"/>
      <c r="AO290" s="74"/>
      <c r="AP290" s="74"/>
      <c r="AQ290" s="74"/>
      <c r="AR290" s="74"/>
      <c r="AS290" s="74"/>
      <c r="AT290" s="74"/>
      <c r="AU290" s="74"/>
      <c r="AV290" s="74"/>
      <c r="AW290" s="74"/>
      <c r="AX290" s="74"/>
      <c r="AY290" s="74"/>
      <c r="AZ290" s="74"/>
    </row>
    <row r="291">
      <c r="A291" s="71"/>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c r="AL291" s="74"/>
      <c r="AM291" s="74"/>
      <c r="AN291" s="74"/>
      <c r="AO291" s="74"/>
      <c r="AP291" s="74"/>
      <c r="AQ291" s="74"/>
      <c r="AR291" s="74"/>
      <c r="AS291" s="74"/>
      <c r="AT291" s="74"/>
      <c r="AU291" s="74"/>
      <c r="AV291" s="74"/>
      <c r="AW291" s="74"/>
      <c r="AX291" s="74"/>
      <c r="AY291" s="74"/>
      <c r="AZ291" s="74"/>
    </row>
    <row r="292">
      <c r="A292" s="71"/>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c r="AM292" s="74"/>
      <c r="AN292" s="74"/>
      <c r="AO292" s="74"/>
      <c r="AP292" s="74"/>
      <c r="AQ292" s="74"/>
      <c r="AR292" s="74"/>
      <c r="AS292" s="74"/>
      <c r="AT292" s="74"/>
      <c r="AU292" s="74"/>
      <c r="AV292" s="74"/>
      <c r="AW292" s="74"/>
      <c r="AX292" s="74"/>
      <c r="AY292" s="74"/>
      <c r="AZ292" s="74"/>
    </row>
    <row r="293">
      <c r="A293" s="71"/>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c r="AL293" s="74"/>
      <c r="AM293" s="74"/>
      <c r="AN293" s="74"/>
      <c r="AO293" s="74"/>
      <c r="AP293" s="74"/>
      <c r="AQ293" s="74"/>
      <c r="AR293" s="74"/>
      <c r="AS293" s="74"/>
      <c r="AT293" s="74"/>
      <c r="AU293" s="74"/>
      <c r="AV293" s="74"/>
      <c r="AW293" s="74"/>
      <c r="AX293" s="74"/>
      <c r="AY293" s="74"/>
      <c r="AZ293" s="74"/>
    </row>
    <row r="294">
      <c r="A294" s="71"/>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c r="AL294" s="74"/>
      <c r="AM294" s="74"/>
      <c r="AN294" s="74"/>
      <c r="AO294" s="74"/>
      <c r="AP294" s="74"/>
      <c r="AQ294" s="74"/>
      <c r="AR294" s="74"/>
      <c r="AS294" s="74"/>
      <c r="AT294" s="74"/>
      <c r="AU294" s="74"/>
      <c r="AV294" s="74"/>
      <c r="AW294" s="74"/>
      <c r="AX294" s="74"/>
      <c r="AY294" s="74"/>
      <c r="AZ294" s="74"/>
    </row>
    <row r="295">
      <c r="A295" s="71"/>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c r="AL295" s="74"/>
      <c r="AM295" s="74"/>
      <c r="AN295" s="74"/>
      <c r="AO295" s="74"/>
      <c r="AP295" s="74"/>
      <c r="AQ295" s="74"/>
      <c r="AR295" s="74"/>
      <c r="AS295" s="74"/>
      <c r="AT295" s="74"/>
      <c r="AU295" s="74"/>
      <c r="AV295" s="74"/>
      <c r="AW295" s="74"/>
      <c r="AX295" s="74"/>
      <c r="AY295" s="74"/>
      <c r="AZ295" s="74"/>
    </row>
    <row r="296">
      <c r="A296" s="71"/>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c r="AJ296" s="74"/>
      <c r="AK296" s="74"/>
      <c r="AL296" s="74"/>
      <c r="AM296" s="74"/>
      <c r="AN296" s="74"/>
      <c r="AO296" s="74"/>
      <c r="AP296" s="74"/>
      <c r="AQ296" s="74"/>
      <c r="AR296" s="74"/>
      <c r="AS296" s="74"/>
      <c r="AT296" s="74"/>
      <c r="AU296" s="74"/>
      <c r="AV296" s="74"/>
      <c r="AW296" s="74"/>
      <c r="AX296" s="74"/>
      <c r="AY296" s="74"/>
      <c r="AZ296" s="74"/>
    </row>
    <row r="297">
      <c r="A297" s="71"/>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c r="AJ297" s="74"/>
      <c r="AK297" s="74"/>
      <c r="AL297" s="74"/>
      <c r="AM297" s="74"/>
      <c r="AN297" s="74"/>
      <c r="AO297" s="74"/>
      <c r="AP297" s="74"/>
      <c r="AQ297" s="74"/>
      <c r="AR297" s="74"/>
      <c r="AS297" s="74"/>
      <c r="AT297" s="74"/>
      <c r="AU297" s="74"/>
      <c r="AV297" s="74"/>
      <c r="AW297" s="74"/>
      <c r="AX297" s="74"/>
      <c r="AY297" s="74"/>
      <c r="AZ297" s="74"/>
    </row>
    <row r="298">
      <c r="A298" s="71"/>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c r="AL298" s="74"/>
      <c r="AM298" s="74"/>
      <c r="AN298" s="74"/>
      <c r="AO298" s="74"/>
      <c r="AP298" s="74"/>
      <c r="AQ298" s="74"/>
      <c r="AR298" s="74"/>
      <c r="AS298" s="74"/>
      <c r="AT298" s="74"/>
      <c r="AU298" s="74"/>
      <c r="AV298" s="74"/>
      <c r="AW298" s="74"/>
      <c r="AX298" s="74"/>
      <c r="AY298" s="74"/>
      <c r="AZ298" s="74"/>
    </row>
    <row r="299">
      <c r="A299" s="71"/>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c r="AL299" s="74"/>
      <c r="AM299" s="74"/>
      <c r="AN299" s="74"/>
      <c r="AO299" s="74"/>
      <c r="AP299" s="74"/>
      <c r="AQ299" s="74"/>
      <c r="AR299" s="74"/>
      <c r="AS299" s="74"/>
      <c r="AT299" s="74"/>
      <c r="AU299" s="74"/>
      <c r="AV299" s="74"/>
      <c r="AW299" s="74"/>
      <c r="AX299" s="74"/>
      <c r="AY299" s="74"/>
      <c r="AZ299" s="74"/>
    </row>
    <row r="300">
      <c r="A300" s="71"/>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c r="AL300" s="74"/>
      <c r="AM300" s="74"/>
      <c r="AN300" s="74"/>
      <c r="AO300" s="74"/>
      <c r="AP300" s="74"/>
      <c r="AQ300" s="74"/>
      <c r="AR300" s="74"/>
      <c r="AS300" s="74"/>
      <c r="AT300" s="74"/>
      <c r="AU300" s="74"/>
      <c r="AV300" s="74"/>
      <c r="AW300" s="74"/>
      <c r="AX300" s="74"/>
      <c r="AY300" s="74"/>
      <c r="AZ300" s="74"/>
    </row>
    <row r="301">
      <c r="A301" s="71"/>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c r="AM301" s="74"/>
      <c r="AN301" s="74"/>
      <c r="AO301" s="74"/>
      <c r="AP301" s="74"/>
      <c r="AQ301" s="74"/>
      <c r="AR301" s="74"/>
      <c r="AS301" s="74"/>
      <c r="AT301" s="74"/>
      <c r="AU301" s="74"/>
      <c r="AV301" s="74"/>
      <c r="AW301" s="74"/>
      <c r="AX301" s="74"/>
      <c r="AY301" s="74"/>
      <c r="AZ301" s="74"/>
    </row>
    <row r="302">
      <c r="A302" s="71"/>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c r="AM302" s="74"/>
      <c r="AN302" s="74"/>
      <c r="AO302" s="74"/>
      <c r="AP302" s="74"/>
      <c r="AQ302" s="74"/>
      <c r="AR302" s="74"/>
      <c r="AS302" s="74"/>
      <c r="AT302" s="74"/>
      <c r="AU302" s="74"/>
      <c r="AV302" s="74"/>
      <c r="AW302" s="74"/>
      <c r="AX302" s="74"/>
      <c r="AY302" s="74"/>
      <c r="AZ302" s="74"/>
    </row>
    <row r="303">
      <c r="A303" s="71"/>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c r="AL303" s="74"/>
      <c r="AM303" s="74"/>
      <c r="AN303" s="74"/>
      <c r="AO303" s="74"/>
      <c r="AP303" s="74"/>
      <c r="AQ303" s="74"/>
      <c r="AR303" s="74"/>
      <c r="AS303" s="74"/>
      <c r="AT303" s="74"/>
      <c r="AU303" s="74"/>
      <c r="AV303" s="74"/>
      <c r="AW303" s="74"/>
      <c r="AX303" s="74"/>
      <c r="AY303" s="74"/>
      <c r="AZ303" s="74"/>
    </row>
    <row r="304">
      <c r="A304" s="71"/>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c r="AL304" s="74"/>
      <c r="AM304" s="74"/>
      <c r="AN304" s="74"/>
      <c r="AO304" s="74"/>
      <c r="AP304" s="74"/>
      <c r="AQ304" s="74"/>
      <c r="AR304" s="74"/>
      <c r="AS304" s="74"/>
      <c r="AT304" s="74"/>
      <c r="AU304" s="74"/>
      <c r="AV304" s="74"/>
      <c r="AW304" s="74"/>
      <c r="AX304" s="74"/>
      <c r="AY304" s="74"/>
      <c r="AZ304" s="74"/>
    </row>
    <row r="305">
      <c r="A305" s="71"/>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c r="AL305" s="74"/>
      <c r="AM305" s="74"/>
      <c r="AN305" s="74"/>
      <c r="AO305" s="74"/>
      <c r="AP305" s="74"/>
      <c r="AQ305" s="74"/>
      <c r="AR305" s="74"/>
      <c r="AS305" s="74"/>
      <c r="AT305" s="74"/>
      <c r="AU305" s="74"/>
      <c r="AV305" s="74"/>
      <c r="AW305" s="74"/>
      <c r="AX305" s="74"/>
      <c r="AY305" s="74"/>
      <c r="AZ305" s="74"/>
    </row>
    <row r="306">
      <c r="A306" s="71"/>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c r="AJ306" s="74"/>
      <c r="AK306" s="74"/>
      <c r="AL306" s="74"/>
      <c r="AM306" s="74"/>
      <c r="AN306" s="74"/>
      <c r="AO306" s="74"/>
      <c r="AP306" s="74"/>
      <c r="AQ306" s="74"/>
      <c r="AR306" s="74"/>
      <c r="AS306" s="74"/>
      <c r="AT306" s="74"/>
      <c r="AU306" s="74"/>
      <c r="AV306" s="74"/>
      <c r="AW306" s="74"/>
      <c r="AX306" s="74"/>
      <c r="AY306" s="74"/>
      <c r="AZ306" s="74"/>
    </row>
    <row r="307">
      <c r="A307" s="71"/>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c r="AJ307" s="74"/>
      <c r="AK307" s="74"/>
      <c r="AL307" s="74"/>
      <c r="AM307" s="74"/>
      <c r="AN307" s="74"/>
      <c r="AO307" s="74"/>
      <c r="AP307" s="74"/>
      <c r="AQ307" s="74"/>
      <c r="AR307" s="74"/>
      <c r="AS307" s="74"/>
      <c r="AT307" s="74"/>
      <c r="AU307" s="74"/>
      <c r="AV307" s="74"/>
      <c r="AW307" s="74"/>
      <c r="AX307" s="74"/>
      <c r="AY307" s="74"/>
      <c r="AZ307" s="74"/>
    </row>
    <row r="308">
      <c r="A308" s="71"/>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c r="AL308" s="74"/>
      <c r="AM308" s="74"/>
      <c r="AN308" s="74"/>
      <c r="AO308" s="74"/>
      <c r="AP308" s="74"/>
      <c r="AQ308" s="74"/>
      <c r="AR308" s="74"/>
      <c r="AS308" s="74"/>
      <c r="AT308" s="74"/>
      <c r="AU308" s="74"/>
      <c r="AV308" s="74"/>
      <c r="AW308" s="74"/>
      <c r="AX308" s="74"/>
      <c r="AY308" s="74"/>
      <c r="AZ308" s="74"/>
    </row>
    <row r="309">
      <c r="A309" s="71"/>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c r="AL309" s="74"/>
      <c r="AM309" s="74"/>
      <c r="AN309" s="74"/>
      <c r="AO309" s="74"/>
      <c r="AP309" s="74"/>
      <c r="AQ309" s="74"/>
      <c r="AR309" s="74"/>
      <c r="AS309" s="74"/>
      <c r="AT309" s="74"/>
      <c r="AU309" s="74"/>
      <c r="AV309" s="74"/>
      <c r="AW309" s="74"/>
      <c r="AX309" s="74"/>
      <c r="AY309" s="74"/>
      <c r="AZ309" s="74"/>
    </row>
    <row r="310">
      <c r="A310" s="71"/>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c r="AM310" s="74"/>
      <c r="AN310" s="74"/>
      <c r="AO310" s="74"/>
      <c r="AP310" s="74"/>
      <c r="AQ310" s="74"/>
      <c r="AR310" s="74"/>
      <c r="AS310" s="74"/>
      <c r="AT310" s="74"/>
      <c r="AU310" s="74"/>
      <c r="AV310" s="74"/>
      <c r="AW310" s="74"/>
      <c r="AX310" s="74"/>
      <c r="AY310" s="74"/>
      <c r="AZ310" s="74"/>
    </row>
    <row r="311">
      <c r="A311" s="71"/>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c r="AL311" s="74"/>
      <c r="AM311" s="74"/>
      <c r="AN311" s="74"/>
      <c r="AO311" s="74"/>
      <c r="AP311" s="74"/>
      <c r="AQ311" s="74"/>
      <c r="AR311" s="74"/>
      <c r="AS311" s="74"/>
      <c r="AT311" s="74"/>
      <c r="AU311" s="74"/>
      <c r="AV311" s="74"/>
      <c r="AW311" s="74"/>
      <c r="AX311" s="74"/>
      <c r="AY311" s="74"/>
      <c r="AZ311" s="74"/>
    </row>
    <row r="312">
      <c r="A312" s="71"/>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c r="AL312" s="74"/>
      <c r="AM312" s="74"/>
      <c r="AN312" s="74"/>
      <c r="AO312" s="74"/>
      <c r="AP312" s="74"/>
      <c r="AQ312" s="74"/>
      <c r="AR312" s="74"/>
      <c r="AS312" s="74"/>
      <c r="AT312" s="74"/>
      <c r="AU312" s="74"/>
      <c r="AV312" s="74"/>
      <c r="AW312" s="74"/>
      <c r="AX312" s="74"/>
      <c r="AY312" s="74"/>
      <c r="AZ312" s="74"/>
    </row>
    <row r="313">
      <c r="A313" s="71"/>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c r="AL313" s="74"/>
      <c r="AM313" s="74"/>
      <c r="AN313" s="74"/>
      <c r="AO313" s="74"/>
      <c r="AP313" s="74"/>
      <c r="AQ313" s="74"/>
      <c r="AR313" s="74"/>
      <c r="AS313" s="74"/>
      <c r="AT313" s="74"/>
      <c r="AU313" s="74"/>
      <c r="AV313" s="74"/>
      <c r="AW313" s="74"/>
      <c r="AX313" s="74"/>
      <c r="AY313" s="74"/>
      <c r="AZ313" s="74"/>
    </row>
    <row r="314">
      <c r="A314" s="71"/>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c r="AM314" s="74"/>
      <c r="AN314" s="74"/>
      <c r="AO314" s="74"/>
      <c r="AP314" s="74"/>
      <c r="AQ314" s="74"/>
      <c r="AR314" s="74"/>
      <c r="AS314" s="74"/>
      <c r="AT314" s="74"/>
      <c r="AU314" s="74"/>
      <c r="AV314" s="74"/>
      <c r="AW314" s="74"/>
      <c r="AX314" s="74"/>
      <c r="AY314" s="74"/>
      <c r="AZ314" s="74"/>
    </row>
    <row r="315">
      <c r="A315" s="71"/>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c r="AM315" s="74"/>
      <c r="AN315" s="74"/>
      <c r="AO315" s="74"/>
      <c r="AP315" s="74"/>
      <c r="AQ315" s="74"/>
      <c r="AR315" s="74"/>
      <c r="AS315" s="74"/>
      <c r="AT315" s="74"/>
      <c r="AU315" s="74"/>
      <c r="AV315" s="74"/>
      <c r="AW315" s="74"/>
      <c r="AX315" s="74"/>
      <c r="AY315" s="74"/>
      <c r="AZ315" s="74"/>
    </row>
    <row r="316">
      <c r="A316" s="71"/>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c r="AN316" s="74"/>
      <c r="AO316" s="74"/>
      <c r="AP316" s="74"/>
      <c r="AQ316" s="74"/>
      <c r="AR316" s="74"/>
      <c r="AS316" s="74"/>
      <c r="AT316" s="74"/>
      <c r="AU316" s="74"/>
      <c r="AV316" s="74"/>
      <c r="AW316" s="74"/>
      <c r="AX316" s="74"/>
      <c r="AY316" s="74"/>
      <c r="AZ316" s="74"/>
    </row>
    <row r="317">
      <c r="A317" s="71"/>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c r="AL317" s="74"/>
      <c r="AM317" s="74"/>
      <c r="AN317" s="74"/>
      <c r="AO317" s="74"/>
      <c r="AP317" s="74"/>
      <c r="AQ317" s="74"/>
      <c r="AR317" s="74"/>
      <c r="AS317" s="74"/>
      <c r="AT317" s="74"/>
      <c r="AU317" s="74"/>
      <c r="AV317" s="74"/>
      <c r="AW317" s="74"/>
      <c r="AX317" s="74"/>
      <c r="AY317" s="74"/>
      <c r="AZ317" s="74"/>
    </row>
    <row r="318">
      <c r="A318" s="71"/>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c r="AJ318" s="74"/>
      <c r="AK318" s="74"/>
      <c r="AL318" s="74"/>
      <c r="AM318" s="74"/>
      <c r="AN318" s="74"/>
      <c r="AO318" s="74"/>
      <c r="AP318" s="74"/>
      <c r="AQ318" s="74"/>
      <c r="AR318" s="74"/>
      <c r="AS318" s="74"/>
      <c r="AT318" s="74"/>
      <c r="AU318" s="74"/>
      <c r="AV318" s="74"/>
      <c r="AW318" s="74"/>
      <c r="AX318" s="74"/>
      <c r="AY318" s="74"/>
      <c r="AZ318" s="74"/>
    </row>
    <row r="319">
      <c r="A319" s="71"/>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row>
    <row r="320">
      <c r="A320" s="71"/>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c r="AL320" s="74"/>
      <c r="AM320" s="74"/>
      <c r="AN320" s="74"/>
      <c r="AO320" s="74"/>
      <c r="AP320" s="74"/>
      <c r="AQ320" s="74"/>
      <c r="AR320" s="74"/>
      <c r="AS320" s="74"/>
      <c r="AT320" s="74"/>
      <c r="AU320" s="74"/>
      <c r="AV320" s="74"/>
      <c r="AW320" s="74"/>
      <c r="AX320" s="74"/>
      <c r="AY320" s="74"/>
      <c r="AZ320" s="74"/>
    </row>
    <row r="321">
      <c r="A321" s="71"/>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c r="AL321" s="74"/>
      <c r="AM321" s="74"/>
      <c r="AN321" s="74"/>
      <c r="AO321" s="74"/>
      <c r="AP321" s="74"/>
      <c r="AQ321" s="74"/>
      <c r="AR321" s="74"/>
      <c r="AS321" s="74"/>
      <c r="AT321" s="74"/>
      <c r="AU321" s="74"/>
      <c r="AV321" s="74"/>
      <c r="AW321" s="74"/>
      <c r="AX321" s="74"/>
      <c r="AY321" s="74"/>
      <c r="AZ321" s="74"/>
    </row>
    <row r="322">
      <c r="A322" s="71"/>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c r="AL322" s="74"/>
      <c r="AM322" s="74"/>
      <c r="AN322" s="74"/>
      <c r="AO322" s="74"/>
      <c r="AP322" s="74"/>
      <c r="AQ322" s="74"/>
      <c r="AR322" s="74"/>
      <c r="AS322" s="74"/>
      <c r="AT322" s="74"/>
      <c r="AU322" s="74"/>
      <c r="AV322" s="74"/>
      <c r="AW322" s="74"/>
      <c r="AX322" s="74"/>
      <c r="AY322" s="74"/>
      <c r="AZ322" s="74"/>
    </row>
    <row r="323">
      <c r="A323" s="71"/>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c r="AL323" s="74"/>
      <c r="AM323" s="74"/>
      <c r="AN323" s="74"/>
      <c r="AO323" s="74"/>
      <c r="AP323" s="74"/>
      <c r="AQ323" s="74"/>
      <c r="AR323" s="74"/>
      <c r="AS323" s="74"/>
      <c r="AT323" s="74"/>
      <c r="AU323" s="74"/>
      <c r="AV323" s="74"/>
      <c r="AW323" s="74"/>
      <c r="AX323" s="74"/>
      <c r="AY323" s="74"/>
      <c r="AZ323" s="74"/>
    </row>
    <row r="324">
      <c r="A324" s="71"/>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c r="AJ324" s="74"/>
      <c r="AK324" s="74"/>
      <c r="AL324" s="74"/>
      <c r="AM324" s="74"/>
      <c r="AN324" s="74"/>
      <c r="AO324" s="74"/>
      <c r="AP324" s="74"/>
      <c r="AQ324" s="74"/>
      <c r="AR324" s="74"/>
      <c r="AS324" s="74"/>
      <c r="AT324" s="74"/>
      <c r="AU324" s="74"/>
      <c r="AV324" s="74"/>
      <c r="AW324" s="74"/>
      <c r="AX324" s="74"/>
      <c r="AY324" s="74"/>
      <c r="AZ324" s="74"/>
    </row>
    <row r="325">
      <c r="A325" s="71"/>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c r="AL325" s="74"/>
      <c r="AM325" s="74"/>
      <c r="AN325" s="74"/>
      <c r="AO325" s="74"/>
      <c r="AP325" s="74"/>
      <c r="AQ325" s="74"/>
      <c r="AR325" s="74"/>
      <c r="AS325" s="74"/>
      <c r="AT325" s="74"/>
      <c r="AU325" s="74"/>
      <c r="AV325" s="74"/>
      <c r="AW325" s="74"/>
      <c r="AX325" s="74"/>
      <c r="AY325" s="74"/>
      <c r="AZ325" s="74"/>
    </row>
    <row r="326">
      <c r="A326" s="71"/>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c r="AL326" s="74"/>
      <c r="AM326" s="74"/>
      <c r="AN326" s="74"/>
      <c r="AO326" s="74"/>
      <c r="AP326" s="74"/>
      <c r="AQ326" s="74"/>
      <c r="AR326" s="74"/>
      <c r="AS326" s="74"/>
      <c r="AT326" s="74"/>
      <c r="AU326" s="74"/>
      <c r="AV326" s="74"/>
      <c r="AW326" s="74"/>
      <c r="AX326" s="74"/>
      <c r="AY326" s="74"/>
      <c r="AZ326" s="74"/>
    </row>
    <row r="327">
      <c r="A327" s="71"/>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c r="AL327" s="74"/>
      <c r="AM327" s="74"/>
      <c r="AN327" s="74"/>
      <c r="AO327" s="74"/>
      <c r="AP327" s="74"/>
      <c r="AQ327" s="74"/>
      <c r="AR327" s="74"/>
      <c r="AS327" s="74"/>
      <c r="AT327" s="74"/>
      <c r="AU327" s="74"/>
      <c r="AV327" s="74"/>
      <c r="AW327" s="74"/>
      <c r="AX327" s="74"/>
      <c r="AY327" s="74"/>
      <c r="AZ327" s="74"/>
    </row>
    <row r="328">
      <c r="A328" s="71"/>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c r="AM328" s="74"/>
      <c r="AN328" s="74"/>
      <c r="AO328" s="74"/>
      <c r="AP328" s="74"/>
      <c r="AQ328" s="74"/>
      <c r="AR328" s="74"/>
      <c r="AS328" s="74"/>
      <c r="AT328" s="74"/>
      <c r="AU328" s="74"/>
      <c r="AV328" s="74"/>
      <c r="AW328" s="74"/>
      <c r="AX328" s="74"/>
      <c r="AY328" s="74"/>
      <c r="AZ328" s="74"/>
    </row>
    <row r="329">
      <c r="A329" s="71"/>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c r="AL329" s="74"/>
      <c r="AM329" s="74"/>
      <c r="AN329" s="74"/>
      <c r="AO329" s="74"/>
      <c r="AP329" s="74"/>
      <c r="AQ329" s="74"/>
      <c r="AR329" s="74"/>
      <c r="AS329" s="74"/>
      <c r="AT329" s="74"/>
      <c r="AU329" s="74"/>
      <c r="AV329" s="74"/>
      <c r="AW329" s="74"/>
      <c r="AX329" s="74"/>
      <c r="AY329" s="74"/>
      <c r="AZ329" s="74"/>
    </row>
    <row r="330">
      <c r="A330" s="71"/>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c r="AM330" s="74"/>
      <c r="AN330" s="74"/>
      <c r="AO330" s="74"/>
      <c r="AP330" s="74"/>
      <c r="AQ330" s="74"/>
      <c r="AR330" s="74"/>
      <c r="AS330" s="74"/>
      <c r="AT330" s="74"/>
      <c r="AU330" s="74"/>
      <c r="AV330" s="74"/>
      <c r="AW330" s="74"/>
      <c r="AX330" s="74"/>
      <c r="AY330" s="74"/>
      <c r="AZ330" s="74"/>
    </row>
    <row r="331">
      <c r="A331" s="71"/>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c r="AL331" s="74"/>
      <c r="AM331" s="74"/>
      <c r="AN331" s="74"/>
      <c r="AO331" s="74"/>
      <c r="AP331" s="74"/>
      <c r="AQ331" s="74"/>
      <c r="AR331" s="74"/>
      <c r="AS331" s="74"/>
      <c r="AT331" s="74"/>
      <c r="AU331" s="74"/>
      <c r="AV331" s="74"/>
      <c r="AW331" s="74"/>
      <c r="AX331" s="74"/>
      <c r="AY331" s="74"/>
      <c r="AZ331" s="74"/>
    </row>
    <row r="332">
      <c r="A332" s="71"/>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c r="AM332" s="74"/>
      <c r="AN332" s="74"/>
      <c r="AO332" s="74"/>
      <c r="AP332" s="74"/>
      <c r="AQ332" s="74"/>
      <c r="AR332" s="74"/>
      <c r="AS332" s="74"/>
      <c r="AT332" s="74"/>
      <c r="AU332" s="74"/>
      <c r="AV332" s="74"/>
      <c r="AW332" s="74"/>
      <c r="AX332" s="74"/>
      <c r="AY332" s="74"/>
      <c r="AZ332" s="74"/>
    </row>
    <row r="333">
      <c r="A333" s="71"/>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c r="AM333" s="74"/>
      <c r="AN333" s="74"/>
      <c r="AO333" s="74"/>
      <c r="AP333" s="74"/>
      <c r="AQ333" s="74"/>
      <c r="AR333" s="74"/>
      <c r="AS333" s="74"/>
      <c r="AT333" s="74"/>
      <c r="AU333" s="74"/>
      <c r="AV333" s="74"/>
      <c r="AW333" s="74"/>
      <c r="AX333" s="74"/>
      <c r="AY333" s="74"/>
      <c r="AZ333" s="74"/>
    </row>
    <row r="334">
      <c r="A334" s="71"/>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c r="AL334" s="74"/>
      <c r="AM334" s="74"/>
      <c r="AN334" s="74"/>
      <c r="AO334" s="74"/>
      <c r="AP334" s="74"/>
      <c r="AQ334" s="74"/>
      <c r="AR334" s="74"/>
      <c r="AS334" s="74"/>
      <c r="AT334" s="74"/>
      <c r="AU334" s="74"/>
      <c r="AV334" s="74"/>
      <c r="AW334" s="74"/>
      <c r="AX334" s="74"/>
      <c r="AY334" s="74"/>
      <c r="AZ334" s="74"/>
    </row>
    <row r="335">
      <c r="A335" s="71"/>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c r="AL335" s="74"/>
      <c r="AM335" s="74"/>
      <c r="AN335" s="74"/>
      <c r="AO335" s="74"/>
      <c r="AP335" s="74"/>
      <c r="AQ335" s="74"/>
      <c r="AR335" s="74"/>
      <c r="AS335" s="74"/>
      <c r="AT335" s="74"/>
      <c r="AU335" s="74"/>
      <c r="AV335" s="74"/>
      <c r="AW335" s="74"/>
      <c r="AX335" s="74"/>
      <c r="AY335" s="74"/>
      <c r="AZ335" s="74"/>
    </row>
    <row r="336">
      <c r="A336" s="71"/>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c r="AJ336" s="74"/>
      <c r="AK336" s="74"/>
      <c r="AL336" s="74"/>
      <c r="AM336" s="74"/>
      <c r="AN336" s="74"/>
      <c r="AO336" s="74"/>
      <c r="AP336" s="74"/>
      <c r="AQ336" s="74"/>
      <c r="AR336" s="74"/>
      <c r="AS336" s="74"/>
      <c r="AT336" s="74"/>
      <c r="AU336" s="74"/>
      <c r="AV336" s="74"/>
      <c r="AW336" s="74"/>
      <c r="AX336" s="74"/>
      <c r="AY336" s="74"/>
      <c r="AZ336" s="74"/>
    </row>
    <row r="337">
      <c r="A337" s="71"/>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c r="AJ337" s="74"/>
      <c r="AK337" s="74"/>
      <c r="AL337" s="74"/>
      <c r="AM337" s="74"/>
      <c r="AN337" s="74"/>
      <c r="AO337" s="74"/>
      <c r="AP337" s="74"/>
      <c r="AQ337" s="74"/>
      <c r="AR337" s="74"/>
      <c r="AS337" s="74"/>
      <c r="AT337" s="74"/>
      <c r="AU337" s="74"/>
      <c r="AV337" s="74"/>
      <c r="AW337" s="74"/>
      <c r="AX337" s="74"/>
      <c r="AY337" s="74"/>
      <c r="AZ337" s="74"/>
    </row>
    <row r="338">
      <c r="A338" s="71"/>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c r="AN338" s="74"/>
      <c r="AO338" s="74"/>
      <c r="AP338" s="74"/>
      <c r="AQ338" s="74"/>
      <c r="AR338" s="74"/>
      <c r="AS338" s="74"/>
      <c r="AT338" s="74"/>
      <c r="AU338" s="74"/>
      <c r="AV338" s="74"/>
      <c r="AW338" s="74"/>
      <c r="AX338" s="74"/>
      <c r="AY338" s="74"/>
      <c r="AZ338" s="74"/>
    </row>
    <row r="339">
      <c r="A339" s="71"/>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c r="AL339" s="74"/>
      <c r="AM339" s="74"/>
      <c r="AN339" s="74"/>
      <c r="AO339" s="74"/>
      <c r="AP339" s="74"/>
      <c r="AQ339" s="74"/>
      <c r="AR339" s="74"/>
      <c r="AS339" s="74"/>
      <c r="AT339" s="74"/>
      <c r="AU339" s="74"/>
      <c r="AV339" s="74"/>
      <c r="AW339" s="74"/>
      <c r="AX339" s="74"/>
      <c r="AY339" s="74"/>
      <c r="AZ339" s="74"/>
    </row>
    <row r="340">
      <c r="A340" s="71"/>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c r="AL340" s="74"/>
      <c r="AM340" s="74"/>
      <c r="AN340" s="74"/>
      <c r="AO340" s="74"/>
      <c r="AP340" s="74"/>
      <c r="AQ340" s="74"/>
      <c r="AR340" s="74"/>
      <c r="AS340" s="74"/>
      <c r="AT340" s="74"/>
      <c r="AU340" s="74"/>
      <c r="AV340" s="74"/>
      <c r="AW340" s="74"/>
      <c r="AX340" s="74"/>
      <c r="AY340" s="74"/>
      <c r="AZ340" s="74"/>
    </row>
    <row r="341">
      <c r="A341" s="71"/>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c r="AL341" s="74"/>
      <c r="AM341" s="74"/>
      <c r="AN341" s="74"/>
      <c r="AO341" s="74"/>
      <c r="AP341" s="74"/>
      <c r="AQ341" s="74"/>
      <c r="AR341" s="74"/>
      <c r="AS341" s="74"/>
      <c r="AT341" s="74"/>
      <c r="AU341" s="74"/>
      <c r="AV341" s="74"/>
      <c r="AW341" s="74"/>
      <c r="AX341" s="74"/>
      <c r="AY341" s="74"/>
      <c r="AZ341" s="74"/>
    </row>
    <row r="342">
      <c r="A342" s="71"/>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c r="AL342" s="74"/>
      <c r="AM342" s="74"/>
      <c r="AN342" s="74"/>
      <c r="AO342" s="74"/>
      <c r="AP342" s="74"/>
      <c r="AQ342" s="74"/>
      <c r="AR342" s="74"/>
      <c r="AS342" s="74"/>
      <c r="AT342" s="74"/>
      <c r="AU342" s="74"/>
      <c r="AV342" s="74"/>
      <c r="AW342" s="74"/>
      <c r="AX342" s="74"/>
      <c r="AY342" s="74"/>
      <c r="AZ342" s="74"/>
    </row>
    <row r="343">
      <c r="A343" s="71"/>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c r="AL343" s="74"/>
      <c r="AM343" s="74"/>
      <c r="AN343" s="74"/>
      <c r="AO343" s="74"/>
      <c r="AP343" s="74"/>
      <c r="AQ343" s="74"/>
      <c r="AR343" s="74"/>
      <c r="AS343" s="74"/>
      <c r="AT343" s="74"/>
      <c r="AU343" s="74"/>
      <c r="AV343" s="74"/>
      <c r="AW343" s="74"/>
      <c r="AX343" s="74"/>
      <c r="AY343" s="74"/>
      <c r="AZ343" s="74"/>
    </row>
    <row r="344">
      <c r="A344" s="71"/>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c r="AL344" s="74"/>
      <c r="AM344" s="74"/>
      <c r="AN344" s="74"/>
      <c r="AO344" s="74"/>
      <c r="AP344" s="74"/>
      <c r="AQ344" s="74"/>
      <c r="AR344" s="74"/>
      <c r="AS344" s="74"/>
      <c r="AT344" s="74"/>
      <c r="AU344" s="74"/>
      <c r="AV344" s="74"/>
      <c r="AW344" s="74"/>
      <c r="AX344" s="74"/>
      <c r="AY344" s="74"/>
      <c r="AZ344" s="74"/>
    </row>
    <row r="345">
      <c r="A345" s="71"/>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c r="AJ345" s="74"/>
      <c r="AK345" s="74"/>
      <c r="AL345" s="74"/>
      <c r="AM345" s="74"/>
      <c r="AN345" s="74"/>
      <c r="AO345" s="74"/>
      <c r="AP345" s="74"/>
      <c r="AQ345" s="74"/>
      <c r="AR345" s="74"/>
      <c r="AS345" s="74"/>
      <c r="AT345" s="74"/>
      <c r="AU345" s="74"/>
      <c r="AV345" s="74"/>
      <c r="AW345" s="74"/>
      <c r="AX345" s="74"/>
      <c r="AY345" s="74"/>
      <c r="AZ345" s="74"/>
    </row>
    <row r="346">
      <c r="A346" s="71"/>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c r="AL346" s="74"/>
      <c r="AM346" s="74"/>
      <c r="AN346" s="74"/>
      <c r="AO346" s="74"/>
      <c r="AP346" s="74"/>
      <c r="AQ346" s="74"/>
      <c r="AR346" s="74"/>
      <c r="AS346" s="74"/>
      <c r="AT346" s="74"/>
      <c r="AU346" s="74"/>
      <c r="AV346" s="74"/>
      <c r="AW346" s="74"/>
      <c r="AX346" s="74"/>
      <c r="AY346" s="74"/>
      <c r="AZ346" s="74"/>
    </row>
    <row r="347">
      <c r="A347" s="71"/>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c r="AL347" s="74"/>
      <c r="AM347" s="74"/>
      <c r="AN347" s="74"/>
      <c r="AO347" s="74"/>
      <c r="AP347" s="74"/>
      <c r="AQ347" s="74"/>
      <c r="AR347" s="74"/>
      <c r="AS347" s="74"/>
      <c r="AT347" s="74"/>
      <c r="AU347" s="74"/>
      <c r="AV347" s="74"/>
      <c r="AW347" s="74"/>
      <c r="AX347" s="74"/>
      <c r="AY347" s="74"/>
      <c r="AZ347" s="74"/>
    </row>
    <row r="348">
      <c r="A348" s="71"/>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c r="AM348" s="74"/>
      <c r="AN348" s="74"/>
      <c r="AO348" s="74"/>
      <c r="AP348" s="74"/>
      <c r="AQ348" s="74"/>
      <c r="AR348" s="74"/>
      <c r="AS348" s="74"/>
      <c r="AT348" s="74"/>
      <c r="AU348" s="74"/>
      <c r="AV348" s="74"/>
      <c r="AW348" s="74"/>
      <c r="AX348" s="74"/>
      <c r="AY348" s="74"/>
      <c r="AZ348" s="74"/>
    </row>
    <row r="349">
      <c r="A349" s="71"/>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c r="AM349" s="74"/>
      <c r="AN349" s="74"/>
      <c r="AO349" s="74"/>
      <c r="AP349" s="74"/>
      <c r="AQ349" s="74"/>
      <c r="AR349" s="74"/>
      <c r="AS349" s="74"/>
      <c r="AT349" s="74"/>
      <c r="AU349" s="74"/>
      <c r="AV349" s="74"/>
      <c r="AW349" s="74"/>
      <c r="AX349" s="74"/>
      <c r="AY349" s="74"/>
      <c r="AZ349" s="74"/>
    </row>
    <row r="350">
      <c r="A350" s="71"/>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c r="AM350" s="74"/>
      <c r="AN350" s="74"/>
      <c r="AO350" s="74"/>
      <c r="AP350" s="74"/>
      <c r="AQ350" s="74"/>
      <c r="AR350" s="74"/>
      <c r="AS350" s="74"/>
      <c r="AT350" s="74"/>
      <c r="AU350" s="74"/>
      <c r="AV350" s="74"/>
      <c r="AW350" s="74"/>
      <c r="AX350" s="74"/>
      <c r="AY350" s="74"/>
      <c r="AZ350" s="74"/>
    </row>
    <row r="351">
      <c r="A351" s="71"/>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c r="AM351" s="74"/>
      <c r="AN351" s="74"/>
      <c r="AO351" s="74"/>
      <c r="AP351" s="74"/>
      <c r="AQ351" s="74"/>
      <c r="AR351" s="74"/>
      <c r="AS351" s="74"/>
      <c r="AT351" s="74"/>
      <c r="AU351" s="74"/>
      <c r="AV351" s="74"/>
      <c r="AW351" s="74"/>
      <c r="AX351" s="74"/>
      <c r="AY351" s="74"/>
      <c r="AZ351" s="74"/>
    </row>
    <row r="352">
      <c r="A352" s="71"/>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c r="AM352" s="74"/>
      <c r="AN352" s="74"/>
      <c r="AO352" s="74"/>
      <c r="AP352" s="74"/>
      <c r="AQ352" s="74"/>
      <c r="AR352" s="74"/>
      <c r="AS352" s="74"/>
      <c r="AT352" s="74"/>
      <c r="AU352" s="74"/>
      <c r="AV352" s="74"/>
      <c r="AW352" s="74"/>
      <c r="AX352" s="74"/>
      <c r="AY352" s="74"/>
      <c r="AZ352" s="74"/>
    </row>
    <row r="353">
      <c r="A353" s="71"/>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74"/>
      <c r="AP353" s="74"/>
      <c r="AQ353" s="74"/>
      <c r="AR353" s="74"/>
      <c r="AS353" s="74"/>
      <c r="AT353" s="74"/>
      <c r="AU353" s="74"/>
      <c r="AV353" s="74"/>
      <c r="AW353" s="74"/>
      <c r="AX353" s="74"/>
      <c r="AY353" s="74"/>
      <c r="AZ353" s="74"/>
    </row>
    <row r="354">
      <c r="A354" s="71"/>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c r="AM354" s="74"/>
      <c r="AN354" s="74"/>
      <c r="AO354" s="74"/>
      <c r="AP354" s="74"/>
      <c r="AQ354" s="74"/>
      <c r="AR354" s="74"/>
      <c r="AS354" s="74"/>
      <c r="AT354" s="74"/>
      <c r="AU354" s="74"/>
      <c r="AV354" s="74"/>
      <c r="AW354" s="74"/>
      <c r="AX354" s="74"/>
      <c r="AY354" s="74"/>
      <c r="AZ354" s="74"/>
    </row>
    <row r="355">
      <c r="A355" s="71"/>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4"/>
      <c r="AM355" s="74"/>
      <c r="AN355" s="74"/>
      <c r="AO355" s="74"/>
      <c r="AP355" s="74"/>
      <c r="AQ355" s="74"/>
      <c r="AR355" s="74"/>
      <c r="AS355" s="74"/>
      <c r="AT355" s="74"/>
      <c r="AU355" s="74"/>
      <c r="AV355" s="74"/>
      <c r="AW355" s="74"/>
      <c r="AX355" s="74"/>
      <c r="AY355" s="74"/>
      <c r="AZ355" s="74"/>
    </row>
    <row r="356">
      <c r="A356" s="71"/>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4"/>
      <c r="AM356" s="74"/>
      <c r="AN356" s="74"/>
      <c r="AO356" s="74"/>
      <c r="AP356" s="74"/>
      <c r="AQ356" s="74"/>
      <c r="AR356" s="74"/>
      <c r="AS356" s="74"/>
      <c r="AT356" s="74"/>
      <c r="AU356" s="74"/>
      <c r="AV356" s="74"/>
      <c r="AW356" s="74"/>
      <c r="AX356" s="74"/>
      <c r="AY356" s="74"/>
      <c r="AZ356" s="74"/>
    </row>
    <row r="357">
      <c r="A357" s="71"/>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c r="AM357" s="74"/>
      <c r="AN357" s="74"/>
      <c r="AO357" s="74"/>
      <c r="AP357" s="74"/>
      <c r="AQ357" s="74"/>
      <c r="AR357" s="74"/>
      <c r="AS357" s="74"/>
      <c r="AT357" s="74"/>
      <c r="AU357" s="74"/>
      <c r="AV357" s="74"/>
      <c r="AW357" s="74"/>
      <c r="AX357" s="74"/>
      <c r="AY357" s="74"/>
      <c r="AZ357" s="74"/>
    </row>
    <row r="358">
      <c r="A358" s="71"/>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c r="AM358" s="74"/>
      <c r="AN358" s="74"/>
      <c r="AO358" s="74"/>
      <c r="AP358" s="74"/>
      <c r="AQ358" s="74"/>
      <c r="AR358" s="74"/>
      <c r="AS358" s="74"/>
      <c r="AT358" s="74"/>
      <c r="AU358" s="74"/>
      <c r="AV358" s="74"/>
      <c r="AW358" s="74"/>
      <c r="AX358" s="74"/>
      <c r="AY358" s="74"/>
      <c r="AZ358" s="74"/>
    </row>
    <row r="359">
      <c r="A359" s="71"/>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4"/>
      <c r="AM359" s="74"/>
      <c r="AN359" s="74"/>
      <c r="AO359" s="74"/>
      <c r="AP359" s="74"/>
      <c r="AQ359" s="74"/>
      <c r="AR359" s="74"/>
      <c r="AS359" s="74"/>
      <c r="AT359" s="74"/>
      <c r="AU359" s="74"/>
      <c r="AV359" s="74"/>
      <c r="AW359" s="74"/>
      <c r="AX359" s="74"/>
      <c r="AY359" s="74"/>
      <c r="AZ359" s="74"/>
    </row>
    <row r="360">
      <c r="A360" s="71"/>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4"/>
      <c r="AM360" s="74"/>
      <c r="AN360" s="74"/>
      <c r="AO360" s="74"/>
      <c r="AP360" s="74"/>
      <c r="AQ360" s="74"/>
      <c r="AR360" s="74"/>
      <c r="AS360" s="74"/>
      <c r="AT360" s="74"/>
      <c r="AU360" s="74"/>
      <c r="AV360" s="74"/>
      <c r="AW360" s="74"/>
      <c r="AX360" s="74"/>
      <c r="AY360" s="74"/>
      <c r="AZ360" s="74"/>
    </row>
    <row r="361">
      <c r="A361" s="71"/>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4"/>
      <c r="AM361" s="74"/>
      <c r="AN361" s="74"/>
      <c r="AO361" s="74"/>
      <c r="AP361" s="74"/>
      <c r="AQ361" s="74"/>
      <c r="AR361" s="74"/>
      <c r="AS361" s="74"/>
      <c r="AT361" s="74"/>
      <c r="AU361" s="74"/>
      <c r="AV361" s="74"/>
      <c r="AW361" s="74"/>
      <c r="AX361" s="74"/>
      <c r="AY361" s="74"/>
      <c r="AZ361" s="74"/>
    </row>
    <row r="362">
      <c r="A362" s="71"/>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4"/>
      <c r="AM362" s="74"/>
      <c r="AN362" s="74"/>
      <c r="AO362" s="74"/>
      <c r="AP362" s="74"/>
      <c r="AQ362" s="74"/>
      <c r="AR362" s="74"/>
      <c r="AS362" s="74"/>
      <c r="AT362" s="74"/>
      <c r="AU362" s="74"/>
      <c r="AV362" s="74"/>
      <c r="AW362" s="74"/>
      <c r="AX362" s="74"/>
      <c r="AY362" s="74"/>
      <c r="AZ362" s="74"/>
    </row>
    <row r="363">
      <c r="A363" s="71"/>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c r="AM363" s="74"/>
      <c r="AN363" s="74"/>
      <c r="AO363" s="74"/>
      <c r="AP363" s="74"/>
      <c r="AQ363" s="74"/>
      <c r="AR363" s="74"/>
      <c r="AS363" s="74"/>
      <c r="AT363" s="74"/>
      <c r="AU363" s="74"/>
      <c r="AV363" s="74"/>
      <c r="AW363" s="74"/>
      <c r="AX363" s="74"/>
      <c r="AY363" s="74"/>
      <c r="AZ363" s="74"/>
    </row>
    <row r="364">
      <c r="A364" s="71"/>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c r="AM364" s="74"/>
      <c r="AN364" s="74"/>
      <c r="AO364" s="74"/>
      <c r="AP364" s="74"/>
      <c r="AQ364" s="74"/>
      <c r="AR364" s="74"/>
      <c r="AS364" s="74"/>
      <c r="AT364" s="74"/>
      <c r="AU364" s="74"/>
      <c r="AV364" s="74"/>
      <c r="AW364" s="74"/>
      <c r="AX364" s="74"/>
      <c r="AY364" s="74"/>
      <c r="AZ364" s="74"/>
    </row>
    <row r="365">
      <c r="A365" s="71"/>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c r="AM365" s="74"/>
      <c r="AN365" s="74"/>
      <c r="AO365" s="74"/>
      <c r="AP365" s="74"/>
      <c r="AQ365" s="74"/>
      <c r="AR365" s="74"/>
      <c r="AS365" s="74"/>
      <c r="AT365" s="74"/>
      <c r="AU365" s="74"/>
      <c r="AV365" s="74"/>
      <c r="AW365" s="74"/>
      <c r="AX365" s="74"/>
      <c r="AY365" s="74"/>
      <c r="AZ365" s="74"/>
    </row>
    <row r="366">
      <c r="A366" s="71"/>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c r="AM366" s="74"/>
      <c r="AN366" s="74"/>
      <c r="AO366" s="74"/>
      <c r="AP366" s="74"/>
      <c r="AQ366" s="74"/>
      <c r="AR366" s="74"/>
      <c r="AS366" s="74"/>
      <c r="AT366" s="74"/>
      <c r="AU366" s="74"/>
      <c r="AV366" s="74"/>
      <c r="AW366" s="74"/>
      <c r="AX366" s="74"/>
      <c r="AY366" s="74"/>
      <c r="AZ366" s="74"/>
    </row>
    <row r="367">
      <c r="A367" s="71"/>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c r="AO367" s="74"/>
      <c r="AP367" s="74"/>
      <c r="AQ367" s="74"/>
      <c r="AR367" s="74"/>
      <c r="AS367" s="74"/>
      <c r="AT367" s="74"/>
      <c r="AU367" s="74"/>
      <c r="AV367" s="74"/>
      <c r="AW367" s="74"/>
      <c r="AX367" s="74"/>
      <c r="AY367" s="74"/>
      <c r="AZ367" s="74"/>
    </row>
    <row r="368">
      <c r="A368" s="71"/>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c r="AO368" s="74"/>
      <c r="AP368" s="74"/>
      <c r="AQ368" s="74"/>
      <c r="AR368" s="74"/>
      <c r="AS368" s="74"/>
      <c r="AT368" s="74"/>
      <c r="AU368" s="74"/>
      <c r="AV368" s="74"/>
      <c r="AW368" s="74"/>
      <c r="AX368" s="74"/>
      <c r="AY368" s="74"/>
      <c r="AZ368" s="74"/>
    </row>
    <row r="369">
      <c r="A369" s="71"/>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4"/>
      <c r="AM369" s="74"/>
      <c r="AN369" s="74"/>
      <c r="AO369" s="74"/>
      <c r="AP369" s="74"/>
      <c r="AQ369" s="74"/>
      <c r="AR369" s="74"/>
      <c r="AS369" s="74"/>
      <c r="AT369" s="74"/>
      <c r="AU369" s="74"/>
      <c r="AV369" s="74"/>
      <c r="AW369" s="74"/>
      <c r="AX369" s="74"/>
      <c r="AY369" s="74"/>
      <c r="AZ369" s="74"/>
    </row>
    <row r="370">
      <c r="A370" s="71"/>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c r="AL370" s="74"/>
      <c r="AM370" s="74"/>
      <c r="AN370" s="74"/>
      <c r="AO370" s="74"/>
      <c r="AP370" s="74"/>
      <c r="AQ370" s="74"/>
      <c r="AR370" s="74"/>
      <c r="AS370" s="74"/>
      <c r="AT370" s="74"/>
      <c r="AU370" s="74"/>
      <c r="AV370" s="74"/>
      <c r="AW370" s="74"/>
      <c r="AX370" s="74"/>
      <c r="AY370" s="74"/>
      <c r="AZ370" s="74"/>
    </row>
    <row r="371">
      <c r="A371" s="71"/>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c r="AL371" s="74"/>
      <c r="AM371" s="74"/>
      <c r="AN371" s="74"/>
      <c r="AO371" s="74"/>
      <c r="AP371" s="74"/>
      <c r="AQ371" s="74"/>
      <c r="AR371" s="74"/>
      <c r="AS371" s="74"/>
      <c r="AT371" s="74"/>
      <c r="AU371" s="74"/>
      <c r="AV371" s="74"/>
      <c r="AW371" s="74"/>
      <c r="AX371" s="74"/>
      <c r="AY371" s="74"/>
      <c r="AZ371" s="74"/>
    </row>
    <row r="372">
      <c r="A372" s="71"/>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c r="AM372" s="74"/>
      <c r="AN372" s="74"/>
      <c r="AO372" s="74"/>
      <c r="AP372" s="74"/>
      <c r="AQ372" s="74"/>
      <c r="AR372" s="74"/>
      <c r="AS372" s="74"/>
      <c r="AT372" s="74"/>
      <c r="AU372" s="74"/>
      <c r="AV372" s="74"/>
      <c r="AW372" s="74"/>
      <c r="AX372" s="74"/>
      <c r="AY372" s="74"/>
      <c r="AZ372" s="74"/>
    </row>
    <row r="373">
      <c r="A373" s="71"/>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c r="AM373" s="74"/>
      <c r="AN373" s="74"/>
      <c r="AO373" s="74"/>
      <c r="AP373" s="74"/>
      <c r="AQ373" s="74"/>
      <c r="AR373" s="74"/>
      <c r="AS373" s="74"/>
      <c r="AT373" s="74"/>
      <c r="AU373" s="74"/>
      <c r="AV373" s="74"/>
      <c r="AW373" s="74"/>
      <c r="AX373" s="74"/>
      <c r="AY373" s="74"/>
      <c r="AZ373" s="74"/>
    </row>
    <row r="374">
      <c r="A374" s="71"/>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4"/>
      <c r="AM374" s="74"/>
      <c r="AN374" s="74"/>
      <c r="AO374" s="74"/>
      <c r="AP374" s="74"/>
      <c r="AQ374" s="74"/>
      <c r="AR374" s="74"/>
      <c r="AS374" s="74"/>
      <c r="AT374" s="74"/>
      <c r="AU374" s="74"/>
      <c r="AV374" s="74"/>
      <c r="AW374" s="74"/>
      <c r="AX374" s="74"/>
      <c r="AY374" s="74"/>
      <c r="AZ374" s="74"/>
    </row>
    <row r="375">
      <c r="A375" s="71"/>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4"/>
      <c r="AM375" s="74"/>
      <c r="AN375" s="74"/>
      <c r="AO375" s="74"/>
      <c r="AP375" s="74"/>
      <c r="AQ375" s="74"/>
      <c r="AR375" s="74"/>
      <c r="AS375" s="74"/>
      <c r="AT375" s="74"/>
      <c r="AU375" s="74"/>
      <c r="AV375" s="74"/>
      <c r="AW375" s="74"/>
      <c r="AX375" s="74"/>
      <c r="AY375" s="74"/>
      <c r="AZ375" s="74"/>
    </row>
    <row r="376">
      <c r="A376" s="71"/>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c r="AM376" s="74"/>
      <c r="AN376" s="74"/>
      <c r="AO376" s="74"/>
      <c r="AP376" s="74"/>
      <c r="AQ376" s="74"/>
      <c r="AR376" s="74"/>
      <c r="AS376" s="74"/>
      <c r="AT376" s="74"/>
      <c r="AU376" s="74"/>
      <c r="AV376" s="74"/>
      <c r="AW376" s="74"/>
      <c r="AX376" s="74"/>
      <c r="AY376" s="74"/>
      <c r="AZ376" s="74"/>
    </row>
    <row r="377">
      <c r="A377" s="71"/>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4"/>
      <c r="AM377" s="74"/>
      <c r="AN377" s="74"/>
      <c r="AO377" s="74"/>
      <c r="AP377" s="74"/>
      <c r="AQ377" s="74"/>
      <c r="AR377" s="74"/>
      <c r="AS377" s="74"/>
      <c r="AT377" s="74"/>
      <c r="AU377" s="74"/>
      <c r="AV377" s="74"/>
      <c r="AW377" s="74"/>
      <c r="AX377" s="74"/>
      <c r="AY377" s="74"/>
      <c r="AZ377" s="74"/>
    </row>
    <row r="378">
      <c r="A378" s="71"/>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c r="AL378" s="74"/>
      <c r="AM378" s="74"/>
      <c r="AN378" s="74"/>
      <c r="AO378" s="74"/>
      <c r="AP378" s="74"/>
      <c r="AQ378" s="74"/>
      <c r="AR378" s="74"/>
      <c r="AS378" s="74"/>
      <c r="AT378" s="74"/>
      <c r="AU378" s="74"/>
      <c r="AV378" s="74"/>
      <c r="AW378" s="74"/>
      <c r="AX378" s="74"/>
      <c r="AY378" s="74"/>
      <c r="AZ378" s="74"/>
    </row>
    <row r="379">
      <c r="A379" s="71"/>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c r="AL379" s="74"/>
      <c r="AM379" s="74"/>
      <c r="AN379" s="74"/>
      <c r="AO379" s="74"/>
      <c r="AP379" s="74"/>
      <c r="AQ379" s="74"/>
      <c r="AR379" s="74"/>
      <c r="AS379" s="74"/>
      <c r="AT379" s="74"/>
      <c r="AU379" s="74"/>
      <c r="AV379" s="74"/>
      <c r="AW379" s="74"/>
      <c r="AX379" s="74"/>
      <c r="AY379" s="74"/>
      <c r="AZ379" s="74"/>
    </row>
    <row r="380">
      <c r="A380" s="71"/>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c r="AM380" s="74"/>
      <c r="AN380" s="74"/>
      <c r="AO380" s="74"/>
      <c r="AP380" s="74"/>
      <c r="AQ380" s="74"/>
      <c r="AR380" s="74"/>
      <c r="AS380" s="74"/>
      <c r="AT380" s="74"/>
      <c r="AU380" s="74"/>
      <c r="AV380" s="74"/>
      <c r="AW380" s="74"/>
      <c r="AX380" s="74"/>
      <c r="AY380" s="74"/>
      <c r="AZ380" s="74"/>
    </row>
    <row r="381">
      <c r="A381" s="71"/>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c r="AM381" s="74"/>
      <c r="AN381" s="74"/>
      <c r="AO381" s="74"/>
      <c r="AP381" s="74"/>
      <c r="AQ381" s="74"/>
      <c r="AR381" s="74"/>
      <c r="AS381" s="74"/>
      <c r="AT381" s="74"/>
      <c r="AU381" s="74"/>
      <c r="AV381" s="74"/>
      <c r="AW381" s="74"/>
      <c r="AX381" s="74"/>
      <c r="AY381" s="74"/>
      <c r="AZ381" s="74"/>
    </row>
    <row r="382">
      <c r="A382" s="71"/>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74"/>
      <c r="AP382" s="74"/>
      <c r="AQ382" s="74"/>
      <c r="AR382" s="74"/>
      <c r="AS382" s="74"/>
      <c r="AT382" s="74"/>
      <c r="AU382" s="74"/>
      <c r="AV382" s="74"/>
      <c r="AW382" s="74"/>
      <c r="AX382" s="74"/>
      <c r="AY382" s="74"/>
      <c r="AZ382" s="74"/>
    </row>
    <row r="383">
      <c r="A383" s="71"/>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c r="AO383" s="74"/>
      <c r="AP383" s="74"/>
      <c r="AQ383" s="74"/>
      <c r="AR383" s="74"/>
      <c r="AS383" s="74"/>
      <c r="AT383" s="74"/>
      <c r="AU383" s="74"/>
      <c r="AV383" s="74"/>
      <c r="AW383" s="74"/>
      <c r="AX383" s="74"/>
      <c r="AY383" s="74"/>
      <c r="AZ383" s="74"/>
    </row>
    <row r="384">
      <c r="A384" s="71"/>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c r="AL384" s="74"/>
      <c r="AM384" s="74"/>
      <c r="AN384" s="74"/>
      <c r="AO384" s="74"/>
      <c r="AP384" s="74"/>
      <c r="AQ384" s="74"/>
      <c r="AR384" s="74"/>
      <c r="AS384" s="74"/>
      <c r="AT384" s="74"/>
      <c r="AU384" s="74"/>
      <c r="AV384" s="74"/>
      <c r="AW384" s="74"/>
      <c r="AX384" s="74"/>
      <c r="AY384" s="74"/>
      <c r="AZ384" s="74"/>
    </row>
    <row r="385">
      <c r="A385" s="71"/>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c r="AO385" s="74"/>
      <c r="AP385" s="74"/>
      <c r="AQ385" s="74"/>
      <c r="AR385" s="74"/>
      <c r="AS385" s="74"/>
      <c r="AT385" s="74"/>
      <c r="AU385" s="74"/>
      <c r="AV385" s="74"/>
      <c r="AW385" s="74"/>
      <c r="AX385" s="74"/>
      <c r="AY385" s="74"/>
      <c r="AZ385" s="74"/>
    </row>
    <row r="386">
      <c r="A386" s="71"/>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c r="AL386" s="74"/>
      <c r="AM386" s="74"/>
      <c r="AN386" s="74"/>
      <c r="AO386" s="74"/>
      <c r="AP386" s="74"/>
      <c r="AQ386" s="74"/>
      <c r="AR386" s="74"/>
      <c r="AS386" s="74"/>
      <c r="AT386" s="74"/>
      <c r="AU386" s="74"/>
      <c r="AV386" s="74"/>
      <c r="AW386" s="74"/>
      <c r="AX386" s="74"/>
      <c r="AY386" s="74"/>
      <c r="AZ386" s="74"/>
    </row>
    <row r="387">
      <c r="A387" s="71"/>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c r="AL387" s="74"/>
      <c r="AM387" s="74"/>
      <c r="AN387" s="74"/>
      <c r="AO387" s="74"/>
      <c r="AP387" s="74"/>
      <c r="AQ387" s="74"/>
      <c r="AR387" s="74"/>
      <c r="AS387" s="74"/>
      <c r="AT387" s="74"/>
      <c r="AU387" s="74"/>
      <c r="AV387" s="74"/>
      <c r="AW387" s="74"/>
      <c r="AX387" s="74"/>
      <c r="AY387" s="74"/>
      <c r="AZ387" s="74"/>
    </row>
    <row r="388">
      <c r="A388" s="71"/>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c r="AL388" s="74"/>
      <c r="AM388" s="74"/>
      <c r="AN388" s="74"/>
      <c r="AO388" s="74"/>
      <c r="AP388" s="74"/>
      <c r="AQ388" s="74"/>
      <c r="AR388" s="74"/>
      <c r="AS388" s="74"/>
      <c r="AT388" s="74"/>
      <c r="AU388" s="74"/>
      <c r="AV388" s="74"/>
      <c r="AW388" s="74"/>
      <c r="AX388" s="74"/>
      <c r="AY388" s="74"/>
      <c r="AZ388" s="74"/>
    </row>
    <row r="389">
      <c r="A389" s="71"/>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c r="AL389" s="74"/>
      <c r="AM389" s="74"/>
      <c r="AN389" s="74"/>
      <c r="AO389" s="74"/>
      <c r="AP389" s="74"/>
      <c r="AQ389" s="74"/>
      <c r="AR389" s="74"/>
      <c r="AS389" s="74"/>
      <c r="AT389" s="74"/>
      <c r="AU389" s="74"/>
      <c r="AV389" s="74"/>
      <c r="AW389" s="74"/>
      <c r="AX389" s="74"/>
      <c r="AY389" s="74"/>
      <c r="AZ389" s="74"/>
    </row>
    <row r="390">
      <c r="A390" s="71"/>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c r="AL390" s="74"/>
      <c r="AM390" s="74"/>
      <c r="AN390" s="74"/>
      <c r="AO390" s="74"/>
      <c r="AP390" s="74"/>
      <c r="AQ390" s="74"/>
      <c r="AR390" s="74"/>
      <c r="AS390" s="74"/>
      <c r="AT390" s="74"/>
      <c r="AU390" s="74"/>
      <c r="AV390" s="74"/>
      <c r="AW390" s="74"/>
      <c r="AX390" s="74"/>
      <c r="AY390" s="74"/>
      <c r="AZ390" s="74"/>
    </row>
    <row r="391">
      <c r="A391" s="71"/>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c r="AL391" s="74"/>
      <c r="AM391" s="74"/>
      <c r="AN391" s="74"/>
      <c r="AO391" s="74"/>
      <c r="AP391" s="74"/>
      <c r="AQ391" s="74"/>
      <c r="AR391" s="74"/>
      <c r="AS391" s="74"/>
      <c r="AT391" s="74"/>
      <c r="AU391" s="74"/>
      <c r="AV391" s="74"/>
      <c r="AW391" s="74"/>
      <c r="AX391" s="74"/>
      <c r="AY391" s="74"/>
      <c r="AZ391" s="74"/>
    </row>
    <row r="392">
      <c r="A392" s="71"/>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c r="AL392" s="74"/>
      <c r="AM392" s="74"/>
      <c r="AN392" s="74"/>
      <c r="AO392" s="74"/>
      <c r="AP392" s="74"/>
      <c r="AQ392" s="74"/>
      <c r="AR392" s="74"/>
      <c r="AS392" s="74"/>
      <c r="AT392" s="74"/>
      <c r="AU392" s="74"/>
      <c r="AV392" s="74"/>
      <c r="AW392" s="74"/>
      <c r="AX392" s="74"/>
      <c r="AY392" s="74"/>
      <c r="AZ392" s="74"/>
    </row>
    <row r="393">
      <c r="A393" s="71"/>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c r="AM393" s="74"/>
      <c r="AN393" s="74"/>
      <c r="AO393" s="74"/>
      <c r="AP393" s="74"/>
      <c r="AQ393" s="74"/>
      <c r="AR393" s="74"/>
      <c r="AS393" s="74"/>
      <c r="AT393" s="74"/>
      <c r="AU393" s="74"/>
      <c r="AV393" s="74"/>
      <c r="AW393" s="74"/>
      <c r="AX393" s="74"/>
      <c r="AY393" s="74"/>
      <c r="AZ393" s="74"/>
    </row>
    <row r="394">
      <c r="A394" s="71"/>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c r="AL394" s="74"/>
      <c r="AM394" s="74"/>
      <c r="AN394" s="74"/>
      <c r="AO394" s="74"/>
      <c r="AP394" s="74"/>
      <c r="AQ394" s="74"/>
      <c r="AR394" s="74"/>
      <c r="AS394" s="74"/>
      <c r="AT394" s="74"/>
      <c r="AU394" s="74"/>
      <c r="AV394" s="74"/>
      <c r="AW394" s="74"/>
      <c r="AX394" s="74"/>
      <c r="AY394" s="74"/>
      <c r="AZ394" s="74"/>
    </row>
    <row r="395">
      <c r="A395" s="71"/>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c r="AL395" s="74"/>
      <c r="AM395" s="74"/>
      <c r="AN395" s="74"/>
      <c r="AO395" s="74"/>
      <c r="AP395" s="74"/>
      <c r="AQ395" s="74"/>
      <c r="AR395" s="74"/>
      <c r="AS395" s="74"/>
      <c r="AT395" s="74"/>
      <c r="AU395" s="74"/>
      <c r="AV395" s="74"/>
      <c r="AW395" s="74"/>
      <c r="AX395" s="74"/>
      <c r="AY395" s="74"/>
      <c r="AZ395" s="74"/>
    </row>
    <row r="396">
      <c r="A396" s="71"/>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4"/>
      <c r="AM396" s="74"/>
      <c r="AN396" s="74"/>
      <c r="AO396" s="74"/>
      <c r="AP396" s="74"/>
      <c r="AQ396" s="74"/>
      <c r="AR396" s="74"/>
      <c r="AS396" s="74"/>
      <c r="AT396" s="74"/>
      <c r="AU396" s="74"/>
      <c r="AV396" s="74"/>
      <c r="AW396" s="74"/>
      <c r="AX396" s="74"/>
      <c r="AY396" s="74"/>
      <c r="AZ396" s="74"/>
    </row>
    <row r="397">
      <c r="A397" s="71"/>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c r="AM397" s="74"/>
      <c r="AN397" s="74"/>
      <c r="AO397" s="74"/>
      <c r="AP397" s="74"/>
      <c r="AQ397" s="74"/>
      <c r="AR397" s="74"/>
      <c r="AS397" s="74"/>
      <c r="AT397" s="74"/>
      <c r="AU397" s="74"/>
      <c r="AV397" s="74"/>
      <c r="AW397" s="74"/>
      <c r="AX397" s="74"/>
      <c r="AY397" s="74"/>
      <c r="AZ397" s="74"/>
    </row>
    <row r="398">
      <c r="A398" s="71"/>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c r="AL398" s="74"/>
      <c r="AM398" s="74"/>
      <c r="AN398" s="74"/>
      <c r="AO398" s="74"/>
      <c r="AP398" s="74"/>
      <c r="AQ398" s="74"/>
      <c r="AR398" s="74"/>
      <c r="AS398" s="74"/>
      <c r="AT398" s="74"/>
      <c r="AU398" s="74"/>
      <c r="AV398" s="74"/>
      <c r="AW398" s="74"/>
      <c r="AX398" s="74"/>
      <c r="AY398" s="74"/>
      <c r="AZ398" s="74"/>
    </row>
    <row r="399">
      <c r="A399" s="71"/>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c r="AM399" s="74"/>
      <c r="AN399" s="74"/>
      <c r="AO399" s="74"/>
      <c r="AP399" s="74"/>
      <c r="AQ399" s="74"/>
      <c r="AR399" s="74"/>
      <c r="AS399" s="74"/>
      <c r="AT399" s="74"/>
      <c r="AU399" s="74"/>
      <c r="AV399" s="74"/>
      <c r="AW399" s="74"/>
      <c r="AX399" s="74"/>
      <c r="AY399" s="74"/>
      <c r="AZ399" s="74"/>
    </row>
    <row r="400">
      <c r="A400" s="71"/>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c r="AO400" s="74"/>
      <c r="AP400" s="74"/>
      <c r="AQ400" s="74"/>
      <c r="AR400" s="74"/>
      <c r="AS400" s="74"/>
      <c r="AT400" s="74"/>
      <c r="AU400" s="74"/>
      <c r="AV400" s="74"/>
      <c r="AW400" s="74"/>
      <c r="AX400" s="74"/>
      <c r="AY400" s="74"/>
      <c r="AZ400" s="74"/>
    </row>
    <row r="401">
      <c r="A401" s="71"/>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c r="AN401" s="74"/>
      <c r="AO401" s="74"/>
      <c r="AP401" s="74"/>
      <c r="AQ401" s="74"/>
      <c r="AR401" s="74"/>
      <c r="AS401" s="74"/>
      <c r="AT401" s="74"/>
      <c r="AU401" s="74"/>
      <c r="AV401" s="74"/>
      <c r="AW401" s="74"/>
      <c r="AX401" s="74"/>
      <c r="AY401" s="74"/>
      <c r="AZ401" s="74"/>
    </row>
    <row r="402">
      <c r="A402" s="71"/>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c r="AM402" s="74"/>
      <c r="AN402" s="74"/>
      <c r="AO402" s="74"/>
      <c r="AP402" s="74"/>
      <c r="AQ402" s="74"/>
      <c r="AR402" s="74"/>
      <c r="AS402" s="74"/>
      <c r="AT402" s="74"/>
      <c r="AU402" s="74"/>
      <c r="AV402" s="74"/>
      <c r="AW402" s="74"/>
      <c r="AX402" s="74"/>
      <c r="AY402" s="74"/>
      <c r="AZ402" s="74"/>
    </row>
    <row r="403">
      <c r="A403" s="71"/>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c r="AM403" s="74"/>
      <c r="AN403" s="74"/>
      <c r="AO403" s="74"/>
      <c r="AP403" s="74"/>
      <c r="AQ403" s="74"/>
      <c r="AR403" s="74"/>
      <c r="AS403" s="74"/>
      <c r="AT403" s="74"/>
      <c r="AU403" s="74"/>
      <c r="AV403" s="74"/>
      <c r="AW403" s="74"/>
      <c r="AX403" s="74"/>
      <c r="AY403" s="74"/>
      <c r="AZ403" s="74"/>
    </row>
    <row r="404">
      <c r="A404" s="71"/>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c r="AN404" s="74"/>
      <c r="AO404" s="74"/>
      <c r="AP404" s="74"/>
      <c r="AQ404" s="74"/>
      <c r="AR404" s="74"/>
      <c r="AS404" s="74"/>
      <c r="AT404" s="74"/>
      <c r="AU404" s="74"/>
      <c r="AV404" s="74"/>
      <c r="AW404" s="74"/>
      <c r="AX404" s="74"/>
      <c r="AY404" s="74"/>
      <c r="AZ404" s="74"/>
    </row>
    <row r="405">
      <c r="A405" s="71"/>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c r="AM405" s="74"/>
      <c r="AN405" s="74"/>
      <c r="AO405" s="74"/>
      <c r="AP405" s="74"/>
      <c r="AQ405" s="74"/>
      <c r="AR405" s="74"/>
      <c r="AS405" s="74"/>
      <c r="AT405" s="74"/>
      <c r="AU405" s="74"/>
      <c r="AV405" s="74"/>
      <c r="AW405" s="74"/>
      <c r="AX405" s="74"/>
      <c r="AY405" s="74"/>
      <c r="AZ405" s="74"/>
    </row>
    <row r="406">
      <c r="A406" s="71"/>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74"/>
      <c r="AQ406" s="74"/>
      <c r="AR406" s="74"/>
      <c r="AS406" s="74"/>
      <c r="AT406" s="74"/>
      <c r="AU406" s="74"/>
      <c r="AV406" s="74"/>
      <c r="AW406" s="74"/>
      <c r="AX406" s="74"/>
      <c r="AY406" s="74"/>
      <c r="AZ406" s="74"/>
    </row>
    <row r="407">
      <c r="A407" s="71"/>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c r="AO407" s="74"/>
      <c r="AP407" s="74"/>
      <c r="AQ407" s="74"/>
      <c r="AR407" s="74"/>
      <c r="AS407" s="74"/>
      <c r="AT407" s="74"/>
      <c r="AU407" s="74"/>
      <c r="AV407" s="74"/>
      <c r="AW407" s="74"/>
      <c r="AX407" s="74"/>
      <c r="AY407" s="74"/>
      <c r="AZ407" s="74"/>
    </row>
    <row r="408">
      <c r="A408" s="71"/>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c r="AM408" s="74"/>
      <c r="AN408" s="74"/>
      <c r="AO408" s="74"/>
      <c r="AP408" s="74"/>
      <c r="AQ408" s="74"/>
      <c r="AR408" s="74"/>
      <c r="AS408" s="74"/>
      <c r="AT408" s="74"/>
      <c r="AU408" s="74"/>
      <c r="AV408" s="74"/>
      <c r="AW408" s="74"/>
      <c r="AX408" s="74"/>
      <c r="AY408" s="74"/>
      <c r="AZ408" s="74"/>
    </row>
    <row r="409">
      <c r="A409" s="71"/>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c r="AM409" s="74"/>
      <c r="AN409" s="74"/>
      <c r="AO409" s="74"/>
      <c r="AP409" s="74"/>
      <c r="AQ409" s="74"/>
      <c r="AR409" s="74"/>
      <c r="AS409" s="74"/>
      <c r="AT409" s="74"/>
      <c r="AU409" s="74"/>
      <c r="AV409" s="74"/>
      <c r="AW409" s="74"/>
      <c r="AX409" s="74"/>
      <c r="AY409" s="74"/>
      <c r="AZ409" s="74"/>
    </row>
    <row r="410">
      <c r="A410" s="71"/>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c r="AM410" s="74"/>
      <c r="AN410" s="74"/>
      <c r="AO410" s="74"/>
      <c r="AP410" s="74"/>
      <c r="AQ410" s="74"/>
      <c r="AR410" s="74"/>
      <c r="AS410" s="74"/>
      <c r="AT410" s="74"/>
      <c r="AU410" s="74"/>
      <c r="AV410" s="74"/>
      <c r="AW410" s="74"/>
      <c r="AX410" s="74"/>
      <c r="AY410" s="74"/>
      <c r="AZ410" s="74"/>
    </row>
    <row r="411">
      <c r="A411" s="71"/>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c r="AM411" s="74"/>
      <c r="AN411" s="74"/>
      <c r="AO411" s="74"/>
      <c r="AP411" s="74"/>
      <c r="AQ411" s="74"/>
      <c r="AR411" s="74"/>
      <c r="AS411" s="74"/>
      <c r="AT411" s="74"/>
      <c r="AU411" s="74"/>
      <c r="AV411" s="74"/>
      <c r="AW411" s="74"/>
      <c r="AX411" s="74"/>
      <c r="AY411" s="74"/>
      <c r="AZ411" s="74"/>
    </row>
    <row r="412">
      <c r="A412" s="71"/>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c r="AM412" s="74"/>
      <c r="AN412" s="74"/>
      <c r="AO412" s="74"/>
      <c r="AP412" s="74"/>
      <c r="AQ412" s="74"/>
      <c r="AR412" s="74"/>
      <c r="AS412" s="74"/>
      <c r="AT412" s="74"/>
      <c r="AU412" s="74"/>
      <c r="AV412" s="74"/>
      <c r="AW412" s="74"/>
      <c r="AX412" s="74"/>
      <c r="AY412" s="74"/>
      <c r="AZ412" s="74"/>
    </row>
    <row r="413">
      <c r="A413" s="71"/>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c r="AM413" s="74"/>
      <c r="AN413" s="74"/>
      <c r="AO413" s="74"/>
      <c r="AP413" s="74"/>
      <c r="AQ413" s="74"/>
      <c r="AR413" s="74"/>
      <c r="AS413" s="74"/>
      <c r="AT413" s="74"/>
      <c r="AU413" s="74"/>
      <c r="AV413" s="74"/>
      <c r="AW413" s="74"/>
      <c r="AX413" s="74"/>
      <c r="AY413" s="74"/>
      <c r="AZ413" s="74"/>
    </row>
    <row r="414">
      <c r="A414" s="71"/>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c r="AM414" s="74"/>
      <c r="AN414" s="74"/>
      <c r="AO414" s="74"/>
      <c r="AP414" s="74"/>
      <c r="AQ414" s="74"/>
      <c r="AR414" s="74"/>
      <c r="AS414" s="74"/>
      <c r="AT414" s="74"/>
      <c r="AU414" s="74"/>
      <c r="AV414" s="74"/>
      <c r="AW414" s="74"/>
      <c r="AX414" s="74"/>
      <c r="AY414" s="74"/>
      <c r="AZ414" s="74"/>
    </row>
    <row r="415">
      <c r="A415" s="71"/>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4"/>
      <c r="AM415" s="74"/>
      <c r="AN415" s="74"/>
      <c r="AO415" s="74"/>
      <c r="AP415" s="74"/>
      <c r="AQ415" s="74"/>
      <c r="AR415" s="74"/>
      <c r="AS415" s="74"/>
      <c r="AT415" s="74"/>
      <c r="AU415" s="74"/>
      <c r="AV415" s="74"/>
      <c r="AW415" s="74"/>
      <c r="AX415" s="74"/>
      <c r="AY415" s="74"/>
      <c r="AZ415" s="74"/>
    </row>
    <row r="416">
      <c r="A416" s="71"/>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c r="AM416" s="74"/>
      <c r="AN416" s="74"/>
      <c r="AO416" s="74"/>
      <c r="AP416" s="74"/>
      <c r="AQ416" s="74"/>
      <c r="AR416" s="74"/>
      <c r="AS416" s="74"/>
      <c r="AT416" s="74"/>
      <c r="AU416" s="74"/>
      <c r="AV416" s="74"/>
      <c r="AW416" s="74"/>
      <c r="AX416" s="74"/>
      <c r="AY416" s="74"/>
      <c r="AZ416" s="74"/>
    </row>
    <row r="417">
      <c r="A417" s="71"/>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c r="AM417" s="74"/>
      <c r="AN417" s="74"/>
      <c r="AO417" s="74"/>
      <c r="AP417" s="74"/>
      <c r="AQ417" s="74"/>
      <c r="AR417" s="74"/>
      <c r="AS417" s="74"/>
      <c r="AT417" s="74"/>
      <c r="AU417" s="74"/>
      <c r="AV417" s="74"/>
      <c r="AW417" s="74"/>
      <c r="AX417" s="74"/>
      <c r="AY417" s="74"/>
      <c r="AZ417" s="74"/>
    </row>
    <row r="418">
      <c r="A418" s="71"/>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c r="AM418" s="74"/>
      <c r="AN418" s="74"/>
      <c r="AO418" s="74"/>
      <c r="AP418" s="74"/>
      <c r="AQ418" s="74"/>
      <c r="AR418" s="74"/>
      <c r="AS418" s="74"/>
      <c r="AT418" s="74"/>
      <c r="AU418" s="74"/>
      <c r="AV418" s="74"/>
      <c r="AW418" s="74"/>
      <c r="AX418" s="74"/>
      <c r="AY418" s="74"/>
      <c r="AZ418" s="74"/>
    </row>
    <row r="419">
      <c r="A419" s="71"/>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4"/>
      <c r="AM419" s="74"/>
      <c r="AN419" s="74"/>
      <c r="AO419" s="74"/>
      <c r="AP419" s="74"/>
      <c r="AQ419" s="74"/>
      <c r="AR419" s="74"/>
      <c r="AS419" s="74"/>
      <c r="AT419" s="74"/>
      <c r="AU419" s="74"/>
      <c r="AV419" s="74"/>
      <c r="AW419" s="74"/>
      <c r="AX419" s="74"/>
      <c r="AY419" s="74"/>
      <c r="AZ419" s="74"/>
    </row>
    <row r="420">
      <c r="A420" s="71"/>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c r="AM420" s="74"/>
      <c r="AN420" s="74"/>
      <c r="AO420" s="74"/>
      <c r="AP420" s="74"/>
      <c r="AQ420" s="74"/>
      <c r="AR420" s="74"/>
      <c r="AS420" s="74"/>
      <c r="AT420" s="74"/>
      <c r="AU420" s="74"/>
      <c r="AV420" s="74"/>
      <c r="AW420" s="74"/>
      <c r="AX420" s="74"/>
      <c r="AY420" s="74"/>
      <c r="AZ420" s="74"/>
    </row>
    <row r="421">
      <c r="A421" s="71"/>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c r="AM421" s="74"/>
      <c r="AN421" s="74"/>
      <c r="AO421" s="74"/>
      <c r="AP421" s="74"/>
      <c r="AQ421" s="74"/>
      <c r="AR421" s="74"/>
      <c r="AS421" s="74"/>
      <c r="AT421" s="74"/>
      <c r="AU421" s="74"/>
      <c r="AV421" s="74"/>
      <c r="AW421" s="74"/>
      <c r="AX421" s="74"/>
      <c r="AY421" s="74"/>
      <c r="AZ421" s="74"/>
    </row>
    <row r="422">
      <c r="A422" s="71"/>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c r="AO422" s="74"/>
      <c r="AP422" s="74"/>
      <c r="AQ422" s="74"/>
      <c r="AR422" s="74"/>
      <c r="AS422" s="74"/>
      <c r="AT422" s="74"/>
      <c r="AU422" s="74"/>
      <c r="AV422" s="74"/>
      <c r="AW422" s="74"/>
      <c r="AX422" s="74"/>
      <c r="AY422" s="74"/>
      <c r="AZ422" s="74"/>
    </row>
    <row r="423">
      <c r="A423" s="71"/>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c r="AM423" s="74"/>
      <c r="AN423" s="74"/>
      <c r="AO423" s="74"/>
      <c r="AP423" s="74"/>
      <c r="AQ423" s="74"/>
      <c r="AR423" s="74"/>
      <c r="AS423" s="74"/>
      <c r="AT423" s="74"/>
      <c r="AU423" s="74"/>
      <c r="AV423" s="74"/>
      <c r="AW423" s="74"/>
      <c r="AX423" s="74"/>
      <c r="AY423" s="74"/>
      <c r="AZ423" s="74"/>
    </row>
    <row r="424">
      <c r="A424" s="71"/>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c r="AO424" s="74"/>
      <c r="AP424" s="74"/>
      <c r="AQ424" s="74"/>
      <c r="AR424" s="74"/>
      <c r="AS424" s="74"/>
      <c r="AT424" s="74"/>
      <c r="AU424" s="74"/>
      <c r="AV424" s="74"/>
      <c r="AW424" s="74"/>
      <c r="AX424" s="74"/>
      <c r="AY424" s="74"/>
      <c r="AZ424" s="74"/>
    </row>
    <row r="425">
      <c r="A425" s="71"/>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c r="AO425" s="74"/>
      <c r="AP425" s="74"/>
      <c r="AQ425" s="74"/>
      <c r="AR425" s="74"/>
      <c r="AS425" s="74"/>
      <c r="AT425" s="74"/>
      <c r="AU425" s="74"/>
      <c r="AV425" s="74"/>
      <c r="AW425" s="74"/>
      <c r="AX425" s="74"/>
      <c r="AY425" s="74"/>
      <c r="AZ425" s="74"/>
    </row>
    <row r="426">
      <c r="A426" s="71"/>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c r="AN426" s="74"/>
      <c r="AO426" s="74"/>
      <c r="AP426" s="74"/>
      <c r="AQ426" s="74"/>
      <c r="AR426" s="74"/>
      <c r="AS426" s="74"/>
      <c r="AT426" s="74"/>
      <c r="AU426" s="74"/>
      <c r="AV426" s="74"/>
      <c r="AW426" s="74"/>
      <c r="AX426" s="74"/>
      <c r="AY426" s="74"/>
      <c r="AZ426" s="74"/>
    </row>
    <row r="427">
      <c r="A427" s="71"/>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c r="AN427" s="74"/>
      <c r="AO427" s="74"/>
      <c r="AP427" s="74"/>
      <c r="AQ427" s="74"/>
      <c r="AR427" s="74"/>
      <c r="AS427" s="74"/>
      <c r="AT427" s="74"/>
      <c r="AU427" s="74"/>
      <c r="AV427" s="74"/>
      <c r="AW427" s="74"/>
      <c r="AX427" s="74"/>
      <c r="AY427" s="74"/>
      <c r="AZ427" s="74"/>
    </row>
    <row r="428">
      <c r="A428" s="71"/>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c r="AN428" s="74"/>
      <c r="AO428" s="74"/>
      <c r="AP428" s="74"/>
      <c r="AQ428" s="74"/>
      <c r="AR428" s="74"/>
      <c r="AS428" s="74"/>
      <c r="AT428" s="74"/>
      <c r="AU428" s="74"/>
      <c r="AV428" s="74"/>
      <c r="AW428" s="74"/>
      <c r="AX428" s="74"/>
      <c r="AY428" s="74"/>
      <c r="AZ428" s="74"/>
    </row>
    <row r="429">
      <c r="A429" s="71"/>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c r="AN429" s="74"/>
      <c r="AO429" s="74"/>
      <c r="AP429" s="74"/>
      <c r="AQ429" s="74"/>
      <c r="AR429" s="74"/>
      <c r="AS429" s="74"/>
      <c r="AT429" s="74"/>
      <c r="AU429" s="74"/>
      <c r="AV429" s="74"/>
      <c r="AW429" s="74"/>
      <c r="AX429" s="74"/>
      <c r="AY429" s="74"/>
      <c r="AZ429" s="74"/>
    </row>
    <row r="430">
      <c r="A430" s="71"/>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c r="AN430" s="74"/>
      <c r="AO430" s="74"/>
      <c r="AP430" s="74"/>
      <c r="AQ430" s="74"/>
      <c r="AR430" s="74"/>
      <c r="AS430" s="74"/>
      <c r="AT430" s="74"/>
      <c r="AU430" s="74"/>
      <c r="AV430" s="74"/>
      <c r="AW430" s="74"/>
      <c r="AX430" s="74"/>
      <c r="AY430" s="74"/>
      <c r="AZ430" s="74"/>
    </row>
    <row r="431">
      <c r="A431" s="71"/>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c r="AN431" s="74"/>
      <c r="AO431" s="74"/>
      <c r="AP431" s="74"/>
      <c r="AQ431" s="74"/>
      <c r="AR431" s="74"/>
      <c r="AS431" s="74"/>
      <c r="AT431" s="74"/>
      <c r="AU431" s="74"/>
      <c r="AV431" s="74"/>
      <c r="AW431" s="74"/>
      <c r="AX431" s="74"/>
      <c r="AY431" s="74"/>
      <c r="AZ431" s="74"/>
    </row>
    <row r="432">
      <c r="A432" s="71"/>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c r="AN432" s="74"/>
      <c r="AO432" s="74"/>
      <c r="AP432" s="74"/>
      <c r="AQ432" s="74"/>
      <c r="AR432" s="74"/>
      <c r="AS432" s="74"/>
      <c r="AT432" s="74"/>
      <c r="AU432" s="74"/>
      <c r="AV432" s="74"/>
      <c r="AW432" s="74"/>
      <c r="AX432" s="74"/>
      <c r="AY432" s="74"/>
      <c r="AZ432" s="74"/>
    </row>
    <row r="433">
      <c r="A433" s="71"/>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c r="AO433" s="74"/>
      <c r="AP433" s="74"/>
      <c r="AQ433" s="74"/>
      <c r="AR433" s="74"/>
      <c r="AS433" s="74"/>
      <c r="AT433" s="74"/>
      <c r="AU433" s="74"/>
      <c r="AV433" s="74"/>
      <c r="AW433" s="74"/>
      <c r="AX433" s="74"/>
      <c r="AY433" s="74"/>
      <c r="AZ433" s="74"/>
    </row>
    <row r="434">
      <c r="A434" s="71"/>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c r="AN434" s="74"/>
      <c r="AO434" s="74"/>
      <c r="AP434" s="74"/>
      <c r="AQ434" s="74"/>
      <c r="AR434" s="74"/>
      <c r="AS434" s="74"/>
      <c r="AT434" s="74"/>
      <c r="AU434" s="74"/>
      <c r="AV434" s="74"/>
      <c r="AW434" s="74"/>
      <c r="AX434" s="74"/>
      <c r="AY434" s="74"/>
      <c r="AZ434" s="74"/>
    </row>
    <row r="435">
      <c r="A435" s="71"/>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c r="AN435" s="74"/>
      <c r="AO435" s="74"/>
      <c r="AP435" s="74"/>
      <c r="AQ435" s="74"/>
      <c r="AR435" s="74"/>
      <c r="AS435" s="74"/>
      <c r="AT435" s="74"/>
      <c r="AU435" s="74"/>
      <c r="AV435" s="74"/>
      <c r="AW435" s="74"/>
      <c r="AX435" s="74"/>
      <c r="AY435" s="74"/>
      <c r="AZ435" s="74"/>
    </row>
    <row r="436">
      <c r="A436" s="71"/>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c r="AM436" s="74"/>
      <c r="AN436" s="74"/>
      <c r="AO436" s="74"/>
      <c r="AP436" s="74"/>
      <c r="AQ436" s="74"/>
      <c r="AR436" s="74"/>
      <c r="AS436" s="74"/>
      <c r="AT436" s="74"/>
      <c r="AU436" s="74"/>
      <c r="AV436" s="74"/>
      <c r="AW436" s="74"/>
      <c r="AX436" s="74"/>
      <c r="AY436" s="74"/>
      <c r="AZ436" s="74"/>
    </row>
    <row r="437">
      <c r="A437" s="71"/>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c r="AM437" s="74"/>
      <c r="AN437" s="74"/>
      <c r="AO437" s="74"/>
      <c r="AP437" s="74"/>
      <c r="AQ437" s="74"/>
      <c r="AR437" s="74"/>
      <c r="AS437" s="74"/>
      <c r="AT437" s="74"/>
      <c r="AU437" s="74"/>
      <c r="AV437" s="74"/>
      <c r="AW437" s="74"/>
      <c r="AX437" s="74"/>
      <c r="AY437" s="74"/>
      <c r="AZ437" s="74"/>
    </row>
    <row r="438">
      <c r="A438" s="71"/>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4"/>
      <c r="AM438" s="74"/>
      <c r="AN438" s="74"/>
      <c r="AO438" s="74"/>
      <c r="AP438" s="74"/>
      <c r="AQ438" s="74"/>
      <c r="AR438" s="74"/>
      <c r="AS438" s="74"/>
      <c r="AT438" s="74"/>
      <c r="AU438" s="74"/>
      <c r="AV438" s="74"/>
      <c r="AW438" s="74"/>
      <c r="AX438" s="74"/>
      <c r="AY438" s="74"/>
      <c r="AZ438" s="74"/>
    </row>
    <row r="439">
      <c r="A439" s="71"/>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4"/>
      <c r="AM439" s="74"/>
      <c r="AN439" s="74"/>
      <c r="AO439" s="74"/>
      <c r="AP439" s="74"/>
      <c r="AQ439" s="74"/>
      <c r="AR439" s="74"/>
      <c r="AS439" s="74"/>
      <c r="AT439" s="74"/>
      <c r="AU439" s="74"/>
      <c r="AV439" s="74"/>
      <c r="AW439" s="74"/>
      <c r="AX439" s="74"/>
      <c r="AY439" s="74"/>
      <c r="AZ439" s="74"/>
    </row>
    <row r="440">
      <c r="A440" s="71"/>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4"/>
      <c r="AM440" s="74"/>
      <c r="AN440" s="74"/>
      <c r="AO440" s="74"/>
      <c r="AP440" s="74"/>
      <c r="AQ440" s="74"/>
      <c r="AR440" s="74"/>
      <c r="AS440" s="74"/>
      <c r="AT440" s="74"/>
      <c r="AU440" s="74"/>
      <c r="AV440" s="74"/>
      <c r="AW440" s="74"/>
      <c r="AX440" s="74"/>
      <c r="AY440" s="74"/>
      <c r="AZ440" s="74"/>
    </row>
    <row r="441">
      <c r="A441" s="71"/>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c r="AM441" s="74"/>
      <c r="AN441" s="74"/>
      <c r="AO441" s="74"/>
      <c r="AP441" s="74"/>
      <c r="AQ441" s="74"/>
      <c r="AR441" s="74"/>
      <c r="AS441" s="74"/>
      <c r="AT441" s="74"/>
      <c r="AU441" s="74"/>
      <c r="AV441" s="74"/>
      <c r="AW441" s="74"/>
      <c r="AX441" s="74"/>
      <c r="AY441" s="74"/>
      <c r="AZ441" s="74"/>
    </row>
    <row r="442">
      <c r="A442" s="71"/>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c r="AN442" s="74"/>
      <c r="AO442" s="74"/>
      <c r="AP442" s="74"/>
      <c r="AQ442" s="74"/>
      <c r="AR442" s="74"/>
      <c r="AS442" s="74"/>
      <c r="AT442" s="74"/>
      <c r="AU442" s="74"/>
      <c r="AV442" s="74"/>
      <c r="AW442" s="74"/>
      <c r="AX442" s="74"/>
      <c r="AY442" s="74"/>
      <c r="AZ442" s="74"/>
    </row>
    <row r="443">
      <c r="A443" s="71"/>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c r="AN443" s="74"/>
      <c r="AO443" s="74"/>
      <c r="AP443" s="74"/>
      <c r="AQ443" s="74"/>
      <c r="AR443" s="74"/>
      <c r="AS443" s="74"/>
      <c r="AT443" s="74"/>
      <c r="AU443" s="74"/>
      <c r="AV443" s="74"/>
      <c r="AW443" s="74"/>
      <c r="AX443" s="74"/>
      <c r="AY443" s="74"/>
      <c r="AZ443" s="74"/>
    </row>
    <row r="444">
      <c r="A444" s="71"/>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c r="AN444" s="74"/>
      <c r="AO444" s="74"/>
      <c r="AP444" s="74"/>
      <c r="AQ444" s="74"/>
      <c r="AR444" s="74"/>
      <c r="AS444" s="74"/>
      <c r="AT444" s="74"/>
      <c r="AU444" s="74"/>
      <c r="AV444" s="74"/>
      <c r="AW444" s="74"/>
      <c r="AX444" s="74"/>
      <c r="AY444" s="74"/>
      <c r="AZ444" s="74"/>
    </row>
    <row r="445">
      <c r="A445" s="71"/>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c r="AJ445" s="74"/>
      <c r="AK445" s="74"/>
      <c r="AL445" s="74"/>
      <c r="AM445" s="74"/>
      <c r="AN445" s="74"/>
      <c r="AO445" s="74"/>
      <c r="AP445" s="74"/>
      <c r="AQ445" s="74"/>
      <c r="AR445" s="74"/>
      <c r="AS445" s="74"/>
      <c r="AT445" s="74"/>
      <c r="AU445" s="74"/>
      <c r="AV445" s="74"/>
      <c r="AW445" s="74"/>
      <c r="AX445" s="74"/>
      <c r="AY445" s="74"/>
      <c r="AZ445" s="74"/>
    </row>
    <row r="446">
      <c r="A446" s="71"/>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c r="AJ446" s="74"/>
      <c r="AK446" s="74"/>
      <c r="AL446" s="74"/>
      <c r="AM446" s="74"/>
      <c r="AN446" s="74"/>
      <c r="AO446" s="74"/>
      <c r="AP446" s="74"/>
      <c r="AQ446" s="74"/>
      <c r="AR446" s="74"/>
      <c r="AS446" s="74"/>
      <c r="AT446" s="74"/>
      <c r="AU446" s="74"/>
      <c r="AV446" s="74"/>
      <c r="AW446" s="74"/>
      <c r="AX446" s="74"/>
      <c r="AY446" s="74"/>
      <c r="AZ446" s="74"/>
    </row>
    <row r="447">
      <c r="A447" s="71"/>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c r="AJ447" s="74"/>
      <c r="AK447" s="74"/>
      <c r="AL447" s="74"/>
      <c r="AM447" s="74"/>
      <c r="AN447" s="74"/>
      <c r="AO447" s="74"/>
      <c r="AP447" s="74"/>
      <c r="AQ447" s="74"/>
      <c r="AR447" s="74"/>
      <c r="AS447" s="74"/>
      <c r="AT447" s="74"/>
      <c r="AU447" s="74"/>
      <c r="AV447" s="74"/>
      <c r="AW447" s="74"/>
      <c r="AX447" s="74"/>
      <c r="AY447" s="74"/>
      <c r="AZ447" s="74"/>
    </row>
    <row r="448">
      <c r="A448" s="71"/>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c r="AM448" s="74"/>
      <c r="AN448" s="74"/>
      <c r="AO448" s="74"/>
      <c r="AP448" s="74"/>
      <c r="AQ448" s="74"/>
      <c r="AR448" s="74"/>
      <c r="AS448" s="74"/>
      <c r="AT448" s="74"/>
      <c r="AU448" s="74"/>
      <c r="AV448" s="74"/>
      <c r="AW448" s="74"/>
      <c r="AX448" s="74"/>
      <c r="AY448" s="74"/>
      <c r="AZ448" s="74"/>
    </row>
    <row r="449">
      <c r="A449" s="71"/>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c r="AJ449" s="74"/>
      <c r="AK449" s="74"/>
      <c r="AL449" s="74"/>
      <c r="AM449" s="74"/>
      <c r="AN449" s="74"/>
      <c r="AO449" s="74"/>
      <c r="AP449" s="74"/>
      <c r="AQ449" s="74"/>
      <c r="AR449" s="74"/>
      <c r="AS449" s="74"/>
      <c r="AT449" s="74"/>
      <c r="AU449" s="74"/>
      <c r="AV449" s="74"/>
      <c r="AW449" s="74"/>
      <c r="AX449" s="74"/>
      <c r="AY449" s="74"/>
      <c r="AZ449" s="74"/>
    </row>
    <row r="450">
      <c r="A450" s="71"/>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c r="AJ450" s="74"/>
      <c r="AK450" s="74"/>
      <c r="AL450" s="74"/>
      <c r="AM450" s="74"/>
      <c r="AN450" s="74"/>
      <c r="AO450" s="74"/>
      <c r="AP450" s="74"/>
      <c r="AQ450" s="74"/>
      <c r="AR450" s="74"/>
      <c r="AS450" s="74"/>
      <c r="AT450" s="74"/>
      <c r="AU450" s="74"/>
      <c r="AV450" s="74"/>
      <c r="AW450" s="74"/>
      <c r="AX450" s="74"/>
      <c r="AY450" s="74"/>
      <c r="AZ450" s="74"/>
    </row>
    <row r="451">
      <c r="A451" s="71"/>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row>
    <row r="452">
      <c r="A452" s="71"/>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4"/>
      <c r="AM452" s="74"/>
      <c r="AN452" s="74"/>
      <c r="AO452" s="74"/>
      <c r="AP452" s="74"/>
      <c r="AQ452" s="74"/>
      <c r="AR452" s="74"/>
      <c r="AS452" s="74"/>
      <c r="AT452" s="74"/>
      <c r="AU452" s="74"/>
      <c r="AV452" s="74"/>
      <c r="AW452" s="74"/>
      <c r="AX452" s="74"/>
      <c r="AY452" s="74"/>
      <c r="AZ452" s="74"/>
    </row>
    <row r="453">
      <c r="A453" s="71"/>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c r="AM453" s="74"/>
      <c r="AN453" s="74"/>
      <c r="AO453" s="74"/>
      <c r="AP453" s="74"/>
      <c r="AQ453" s="74"/>
      <c r="AR453" s="74"/>
      <c r="AS453" s="74"/>
      <c r="AT453" s="74"/>
      <c r="AU453" s="74"/>
      <c r="AV453" s="74"/>
      <c r="AW453" s="74"/>
      <c r="AX453" s="74"/>
      <c r="AY453" s="74"/>
      <c r="AZ453" s="74"/>
    </row>
    <row r="454">
      <c r="A454" s="71"/>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c r="AM454" s="74"/>
      <c r="AN454" s="74"/>
      <c r="AO454" s="74"/>
      <c r="AP454" s="74"/>
      <c r="AQ454" s="74"/>
      <c r="AR454" s="74"/>
      <c r="AS454" s="74"/>
      <c r="AT454" s="74"/>
      <c r="AU454" s="74"/>
      <c r="AV454" s="74"/>
      <c r="AW454" s="74"/>
      <c r="AX454" s="74"/>
      <c r="AY454" s="74"/>
      <c r="AZ454" s="74"/>
    </row>
    <row r="455">
      <c r="A455" s="71"/>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c r="AM455" s="74"/>
      <c r="AN455" s="74"/>
      <c r="AO455" s="74"/>
      <c r="AP455" s="74"/>
      <c r="AQ455" s="74"/>
      <c r="AR455" s="74"/>
      <c r="AS455" s="74"/>
      <c r="AT455" s="74"/>
      <c r="AU455" s="74"/>
      <c r="AV455" s="74"/>
      <c r="AW455" s="74"/>
      <c r="AX455" s="74"/>
      <c r="AY455" s="74"/>
      <c r="AZ455" s="74"/>
    </row>
    <row r="456">
      <c r="A456" s="71"/>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4"/>
      <c r="AM456" s="74"/>
      <c r="AN456" s="74"/>
      <c r="AO456" s="74"/>
      <c r="AP456" s="74"/>
      <c r="AQ456" s="74"/>
      <c r="AR456" s="74"/>
      <c r="AS456" s="74"/>
      <c r="AT456" s="74"/>
      <c r="AU456" s="74"/>
      <c r="AV456" s="74"/>
      <c r="AW456" s="74"/>
      <c r="AX456" s="74"/>
      <c r="AY456" s="74"/>
      <c r="AZ456" s="74"/>
    </row>
    <row r="457">
      <c r="A457" s="71"/>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4"/>
      <c r="AM457" s="74"/>
      <c r="AN457" s="74"/>
      <c r="AO457" s="74"/>
      <c r="AP457" s="74"/>
      <c r="AQ457" s="74"/>
      <c r="AR457" s="74"/>
      <c r="AS457" s="74"/>
      <c r="AT457" s="74"/>
      <c r="AU457" s="74"/>
      <c r="AV457" s="74"/>
      <c r="AW457" s="74"/>
      <c r="AX457" s="74"/>
      <c r="AY457" s="74"/>
      <c r="AZ457" s="74"/>
    </row>
    <row r="458">
      <c r="A458" s="71"/>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c r="AN458" s="74"/>
      <c r="AO458" s="74"/>
      <c r="AP458" s="74"/>
      <c r="AQ458" s="74"/>
      <c r="AR458" s="74"/>
      <c r="AS458" s="74"/>
      <c r="AT458" s="74"/>
      <c r="AU458" s="74"/>
      <c r="AV458" s="74"/>
      <c r="AW458" s="74"/>
      <c r="AX458" s="74"/>
      <c r="AY458" s="74"/>
      <c r="AZ458" s="74"/>
    </row>
    <row r="459">
      <c r="A459" s="71"/>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c r="AM459" s="74"/>
      <c r="AN459" s="74"/>
      <c r="AO459" s="74"/>
      <c r="AP459" s="74"/>
      <c r="AQ459" s="74"/>
      <c r="AR459" s="74"/>
      <c r="AS459" s="74"/>
      <c r="AT459" s="74"/>
      <c r="AU459" s="74"/>
      <c r="AV459" s="74"/>
      <c r="AW459" s="74"/>
      <c r="AX459" s="74"/>
      <c r="AY459" s="74"/>
      <c r="AZ459" s="74"/>
    </row>
    <row r="460">
      <c r="A460" s="71"/>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c r="AM460" s="74"/>
      <c r="AN460" s="74"/>
      <c r="AO460" s="74"/>
      <c r="AP460" s="74"/>
      <c r="AQ460" s="74"/>
      <c r="AR460" s="74"/>
      <c r="AS460" s="74"/>
      <c r="AT460" s="74"/>
      <c r="AU460" s="74"/>
      <c r="AV460" s="74"/>
      <c r="AW460" s="74"/>
      <c r="AX460" s="74"/>
      <c r="AY460" s="74"/>
      <c r="AZ460" s="74"/>
    </row>
    <row r="461">
      <c r="A461" s="71"/>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c r="AJ461" s="74"/>
      <c r="AK461" s="74"/>
      <c r="AL461" s="74"/>
      <c r="AM461" s="74"/>
      <c r="AN461" s="74"/>
      <c r="AO461" s="74"/>
      <c r="AP461" s="74"/>
      <c r="AQ461" s="74"/>
      <c r="AR461" s="74"/>
      <c r="AS461" s="74"/>
      <c r="AT461" s="74"/>
      <c r="AU461" s="74"/>
      <c r="AV461" s="74"/>
      <c r="AW461" s="74"/>
      <c r="AX461" s="74"/>
      <c r="AY461" s="74"/>
      <c r="AZ461" s="74"/>
    </row>
    <row r="462">
      <c r="A462" s="71"/>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c r="AJ462" s="74"/>
      <c r="AK462" s="74"/>
      <c r="AL462" s="74"/>
      <c r="AM462" s="74"/>
      <c r="AN462" s="74"/>
      <c r="AO462" s="74"/>
      <c r="AP462" s="74"/>
      <c r="AQ462" s="74"/>
      <c r="AR462" s="74"/>
      <c r="AS462" s="74"/>
      <c r="AT462" s="74"/>
      <c r="AU462" s="74"/>
      <c r="AV462" s="74"/>
      <c r="AW462" s="74"/>
      <c r="AX462" s="74"/>
      <c r="AY462" s="74"/>
      <c r="AZ462" s="74"/>
    </row>
    <row r="463">
      <c r="A463" s="71"/>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c r="AJ463" s="74"/>
      <c r="AK463" s="74"/>
      <c r="AL463" s="74"/>
      <c r="AM463" s="74"/>
      <c r="AN463" s="74"/>
      <c r="AO463" s="74"/>
      <c r="AP463" s="74"/>
      <c r="AQ463" s="74"/>
      <c r="AR463" s="74"/>
      <c r="AS463" s="74"/>
      <c r="AT463" s="74"/>
      <c r="AU463" s="74"/>
      <c r="AV463" s="74"/>
      <c r="AW463" s="74"/>
      <c r="AX463" s="74"/>
      <c r="AY463" s="74"/>
      <c r="AZ463" s="74"/>
    </row>
    <row r="464">
      <c r="A464" s="71"/>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c r="AJ464" s="74"/>
      <c r="AK464" s="74"/>
      <c r="AL464" s="74"/>
      <c r="AM464" s="74"/>
      <c r="AN464" s="74"/>
      <c r="AO464" s="74"/>
      <c r="AP464" s="74"/>
      <c r="AQ464" s="74"/>
      <c r="AR464" s="74"/>
      <c r="AS464" s="74"/>
      <c r="AT464" s="74"/>
      <c r="AU464" s="74"/>
      <c r="AV464" s="74"/>
      <c r="AW464" s="74"/>
      <c r="AX464" s="74"/>
      <c r="AY464" s="74"/>
      <c r="AZ464" s="74"/>
    </row>
    <row r="465">
      <c r="A465" s="71"/>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c r="AJ465" s="74"/>
      <c r="AK465" s="74"/>
      <c r="AL465" s="74"/>
      <c r="AM465" s="74"/>
      <c r="AN465" s="74"/>
      <c r="AO465" s="74"/>
      <c r="AP465" s="74"/>
      <c r="AQ465" s="74"/>
      <c r="AR465" s="74"/>
      <c r="AS465" s="74"/>
      <c r="AT465" s="74"/>
      <c r="AU465" s="74"/>
      <c r="AV465" s="74"/>
      <c r="AW465" s="74"/>
      <c r="AX465" s="74"/>
      <c r="AY465" s="74"/>
      <c r="AZ465" s="74"/>
    </row>
    <row r="466">
      <c r="A466" s="71"/>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c r="AJ466" s="74"/>
      <c r="AK466" s="74"/>
      <c r="AL466" s="74"/>
      <c r="AM466" s="74"/>
      <c r="AN466" s="74"/>
      <c r="AO466" s="74"/>
      <c r="AP466" s="74"/>
      <c r="AQ466" s="74"/>
      <c r="AR466" s="74"/>
      <c r="AS466" s="74"/>
      <c r="AT466" s="74"/>
      <c r="AU466" s="74"/>
      <c r="AV466" s="74"/>
      <c r="AW466" s="74"/>
      <c r="AX466" s="74"/>
      <c r="AY466" s="74"/>
      <c r="AZ466" s="74"/>
    </row>
    <row r="467">
      <c r="A467" s="71"/>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c r="AJ467" s="74"/>
      <c r="AK467" s="74"/>
      <c r="AL467" s="74"/>
      <c r="AM467" s="74"/>
      <c r="AN467" s="74"/>
      <c r="AO467" s="74"/>
      <c r="AP467" s="74"/>
      <c r="AQ467" s="74"/>
      <c r="AR467" s="74"/>
      <c r="AS467" s="74"/>
      <c r="AT467" s="74"/>
      <c r="AU467" s="74"/>
      <c r="AV467" s="74"/>
      <c r="AW467" s="74"/>
      <c r="AX467" s="74"/>
      <c r="AY467" s="74"/>
      <c r="AZ467" s="74"/>
    </row>
    <row r="468">
      <c r="A468" s="71"/>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c r="AM468" s="74"/>
      <c r="AN468" s="74"/>
      <c r="AO468" s="74"/>
      <c r="AP468" s="74"/>
      <c r="AQ468" s="74"/>
      <c r="AR468" s="74"/>
      <c r="AS468" s="74"/>
      <c r="AT468" s="74"/>
      <c r="AU468" s="74"/>
      <c r="AV468" s="74"/>
      <c r="AW468" s="74"/>
      <c r="AX468" s="74"/>
      <c r="AY468" s="74"/>
      <c r="AZ468" s="74"/>
    </row>
    <row r="469">
      <c r="A469" s="71"/>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c r="AM469" s="74"/>
      <c r="AN469" s="74"/>
      <c r="AO469" s="74"/>
      <c r="AP469" s="74"/>
      <c r="AQ469" s="74"/>
      <c r="AR469" s="74"/>
      <c r="AS469" s="74"/>
      <c r="AT469" s="74"/>
      <c r="AU469" s="74"/>
      <c r="AV469" s="74"/>
      <c r="AW469" s="74"/>
      <c r="AX469" s="74"/>
      <c r="AY469" s="74"/>
      <c r="AZ469" s="74"/>
    </row>
    <row r="470">
      <c r="A470" s="71"/>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4"/>
      <c r="AM470" s="74"/>
      <c r="AN470" s="74"/>
      <c r="AO470" s="74"/>
      <c r="AP470" s="74"/>
      <c r="AQ470" s="74"/>
      <c r="AR470" s="74"/>
      <c r="AS470" s="74"/>
      <c r="AT470" s="74"/>
      <c r="AU470" s="74"/>
      <c r="AV470" s="74"/>
      <c r="AW470" s="74"/>
      <c r="AX470" s="74"/>
      <c r="AY470" s="74"/>
      <c r="AZ470" s="74"/>
    </row>
    <row r="471">
      <c r="A471" s="71"/>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c r="AN471" s="74"/>
      <c r="AO471" s="74"/>
      <c r="AP471" s="74"/>
      <c r="AQ471" s="74"/>
      <c r="AR471" s="74"/>
      <c r="AS471" s="74"/>
      <c r="AT471" s="74"/>
      <c r="AU471" s="74"/>
      <c r="AV471" s="74"/>
      <c r="AW471" s="74"/>
      <c r="AX471" s="74"/>
      <c r="AY471" s="74"/>
      <c r="AZ471" s="74"/>
    </row>
    <row r="472">
      <c r="A472" s="71"/>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c r="AM472" s="74"/>
      <c r="AN472" s="74"/>
      <c r="AO472" s="74"/>
      <c r="AP472" s="74"/>
      <c r="AQ472" s="74"/>
      <c r="AR472" s="74"/>
      <c r="AS472" s="74"/>
      <c r="AT472" s="74"/>
      <c r="AU472" s="74"/>
      <c r="AV472" s="74"/>
      <c r="AW472" s="74"/>
      <c r="AX472" s="74"/>
      <c r="AY472" s="74"/>
      <c r="AZ472" s="74"/>
    </row>
    <row r="473">
      <c r="A473" s="71"/>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c r="AM473" s="74"/>
      <c r="AN473" s="74"/>
      <c r="AO473" s="74"/>
      <c r="AP473" s="74"/>
      <c r="AQ473" s="74"/>
      <c r="AR473" s="74"/>
      <c r="AS473" s="74"/>
      <c r="AT473" s="74"/>
      <c r="AU473" s="74"/>
      <c r="AV473" s="74"/>
      <c r="AW473" s="74"/>
      <c r="AX473" s="74"/>
      <c r="AY473" s="74"/>
      <c r="AZ473" s="74"/>
    </row>
    <row r="474">
      <c r="A474" s="71"/>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c r="AM474" s="74"/>
      <c r="AN474" s="74"/>
      <c r="AO474" s="74"/>
      <c r="AP474" s="74"/>
      <c r="AQ474" s="74"/>
      <c r="AR474" s="74"/>
      <c r="AS474" s="74"/>
      <c r="AT474" s="74"/>
      <c r="AU474" s="74"/>
      <c r="AV474" s="74"/>
      <c r="AW474" s="74"/>
      <c r="AX474" s="74"/>
      <c r="AY474" s="74"/>
      <c r="AZ474" s="74"/>
    </row>
    <row r="475">
      <c r="A475" s="71"/>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c r="AM475" s="74"/>
      <c r="AN475" s="74"/>
      <c r="AO475" s="74"/>
      <c r="AP475" s="74"/>
      <c r="AQ475" s="74"/>
      <c r="AR475" s="74"/>
      <c r="AS475" s="74"/>
      <c r="AT475" s="74"/>
      <c r="AU475" s="74"/>
      <c r="AV475" s="74"/>
      <c r="AW475" s="74"/>
      <c r="AX475" s="74"/>
      <c r="AY475" s="74"/>
      <c r="AZ475" s="74"/>
    </row>
    <row r="476">
      <c r="A476" s="71"/>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c r="AJ476" s="74"/>
      <c r="AK476" s="74"/>
      <c r="AL476" s="74"/>
      <c r="AM476" s="74"/>
      <c r="AN476" s="74"/>
      <c r="AO476" s="74"/>
      <c r="AP476" s="74"/>
      <c r="AQ476" s="74"/>
      <c r="AR476" s="74"/>
      <c r="AS476" s="74"/>
      <c r="AT476" s="74"/>
      <c r="AU476" s="74"/>
      <c r="AV476" s="74"/>
      <c r="AW476" s="74"/>
      <c r="AX476" s="74"/>
      <c r="AY476" s="74"/>
      <c r="AZ476" s="74"/>
    </row>
    <row r="477">
      <c r="A477" s="71"/>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c r="AJ477" s="74"/>
      <c r="AK477" s="74"/>
      <c r="AL477" s="74"/>
      <c r="AM477" s="74"/>
      <c r="AN477" s="74"/>
      <c r="AO477" s="74"/>
      <c r="AP477" s="74"/>
      <c r="AQ477" s="74"/>
      <c r="AR477" s="74"/>
      <c r="AS477" s="74"/>
      <c r="AT477" s="74"/>
      <c r="AU477" s="74"/>
      <c r="AV477" s="74"/>
      <c r="AW477" s="74"/>
      <c r="AX477" s="74"/>
      <c r="AY477" s="74"/>
      <c r="AZ477" s="74"/>
    </row>
    <row r="478">
      <c r="A478" s="71"/>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c r="AM478" s="74"/>
      <c r="AN478" s="74"/>
      <c r="AO478" s="74"/>
      <c r="AP478" s="74"/>
      <c r="AQ478" s="74"/>
      <c r="AR478" s="74"/>
      <c r="AS478" s="74"/>
      <c r="AT478" s="74"/>
      <c r="AU478" s="74"/>
      <c r="AV478" s="74"/>
      <c r="AW478" s="74"/>
      <c r="AX478" s="74"/>
      <c r="AY478" s="74"/>
      <c r="AZ478" s="74"/>
    </row>
    <row r="479">
      <c r="A479" s="71"/>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c r="AM479" s="74"/>
      <c r="AN479" s="74"/>
      <c r="AO479" s="74"/>
      <c r="AP479" s="74"/>
      <c r="AQ479" s="74"/>
      <c r="AR479" s="74"/>
      <c r="AS479" s="74"/>
      <c r="AT479" s="74"/>
      <c r="AU479" s="74"/>
      <c r="AV479" s="74"/>
      <c r="AW479" s="74"/>
      <c r="AX479" s="74"/>
      <c r="AY479" s="74"/>
      <c r="AZ479" s="74"/>
    </row>
    <row r="480">
      <c r="A480" s="71"/>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c r="AM480" s="74"/>
      <c r="AN480" s="74"/>
      <c r="AO480" s="74"/>
      <c r="AP480" s="74"/>
      <c r="AQ480" s="74"/>
      <c r="AR480" s="74"/>
      <c r="AS480" s="74"/>
      <c r="AT480" s="74"/>
      <c r="AU480" s="74"/>
      <c r="AV480" s="74"/>
      <c r="AW480" s="74"/>
      <c r="AX480" s="74"/>
      <c r="AY480" s="74"/>
      <c r="AZ480" s="74"/>
    </row>
    <row r="481">
      <c r="A481" s="71"/>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c r="AM481" s="74"/>
      <c r="AN481" s="74"/>
      <c r="AO481" s="74"/>
      <c r="AP481" s="74"/>
      <c r="AQ481" s="74"/>
      <c r="AR481" s="74"/>
      <c r="AS481" s="74"/>
      <c r="AT481" s="74"/>
      <c r="AU481" s="74"/>
      <c r="AV481" s="74"/>
      <c r="AW481" s="74"/>
      <c r="AX481" s="74"/>
      <c r="AY481" s="74"/>
      <c r="AZ481" s="74"/>
    </row>
    <row r="482">
      <c r="A482" s="71"/>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c r="AM482" s="74"/>
      <c r="AN482" s="74"/>
      <c r="AO482" s="74"/>
      <c r="AP482" s="74"/>
      <c r="AQ482" s="74"/>
      <c r="AR482" s="74"/>
      <c r="AS482" s="74"/>
      <c r="AT482" s="74"/>
      <c r="AU482" s="74"/>
      <c r="AV482" s="74"/>
      <c r="AW482" s="74"/>
      <c r="AX482" s="74"/>
      <c r="AY482" s="74"/>
      <c r="AZ482" s="74"/>
    </row>
    <row r="483">
      <c r="A483" s="71"/>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c r="AM483" s="74"/>
      <c r="AN483" s="74"/>
      <c r="AO483" s="74"/>
      <c r="AP483" s="74"/>
      <c r="AQ483" s="74"/>
      <c r="AR483" s="74"/>
      <c r="AS483" s="74"/>
      <c r="AT483" s="74"/>
      <c r="AU483" s="74"/>
      <c r="AV483" s="74"/>
      <c r="AW483" s="74"/>
      <c r="AX483" s="74"/>
      <c r="AY483" s="74"/>
      <c r="AZ483" s="74"/>
    </row>
    <row r="484">
      <c r="A484" s="71"/>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c r="AM484" s="74"/>
      <c r="AN484" s="74"/>
      <c r="AO484" s="74"/>
      <c r="AP484" s="74"/>
      <c r="AQ484" s="74"/>
      <c r="AR484" s="74"/>
      <c r="AS484" s="74"/>
      <c r="AT484" s="74"/>
      <c r="AU484" s="74"/>
      <c r="AV484" s="74"/>
      <c r="AW484" s="74"/>
      <c r="AX484" s="74"/>
      <c r="AY484" s="74"/>
      <c r="AZ484" s="74"/>
    </row>
    <row r="485">
      <c r="A485" s="71"/>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c r="AM485" s="74"/>
      <c r="AN485" s="74"/>
      <c r="AO485" s="74"/>
      <c r="AP485" s="74"/>
      <c r="AQ485" s="74"/>
      <c r="AR485" s="74"/>
      <c r="AS485" s="74"/>
      <c r="AT485" s="74"/>
      <c r="AU485" s="74"/>
      <c r="AV485" s="74"/>
      <c r="AW485" s="74"/>
      <c r="AX485" s="74"/>
      <c r="AY485" s="74"/>
      <c r="AZ485" s="74"/>
    </row>
    <row r="486">
      <c r="A486" s="71"/>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c r="AJ486" s="74"/>
      <c r="AK486" s="74"/>
      <c r="AL486" s="74"/>
      <c r="AM486" s="74"/>
      <c r="AN486" s="74"/>
      <c r="AO486" s="74"/>
      <c r="AP486" s="74"/>
      <c r="AQ486" s="74"/>
      <c r="AR486" s="74"/>
      <c r="AS486" s="74"/>
      <c r="AT486" s="74"/>
      <c r="AU486" s="74"/>
      <c r="AV486" s="74"/>
      <c r="AW486" s="74"/>
      <c r="AX486" s="74"/>
      <c r="AY486" s="74"/>
      <c r="AZ486" s="74"/>
    </row>
    <row r="487">
      <c r="A487" s="71"/>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c r="AJ487" s="74"/>
      <c r="AK487" s="74"/>
      <c r="AL487" s="74"/>
      <c r="AM487" s="74"/>
      <c r="AN487" s="74"/>
      <c r="AO487" s="74"/>
      <c r="AP487" s="74"/>
      <c r="AQ487" s="74"/>
      <c r="AR487" s="74"/>
      <c r="AS487" s="74"/>
      <c r="AT487" s="74"/>
      <c r="AU487" s="74"/>
      <c r="AV487" s="74"/>
      <c r="AW487" s="74"/>
      <c r="AX487" s="74"/>
      <c r="AY487" s="74"/>
      <c r="AZ487" s="74"/>
    </row>
    <row r="488">
      <c r="A488" s="71"/>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c r="AM488" s="74"/>
      <c r="AN488" s="74"/>
      <c r="AO488" s="74"/>
      <c r="AP488" s="74"/>
      <c r="AQ488" s="74"/>
      <c r="AR488" s="74"/>
      <c r="AS488" s="74"/>
      <c r="AT488" s="74"/>
      <c r="AU488" s="74"/>
      <c r="AV488" s="74"/>
      <c r="AW488" s="74"/>
      <c r="AX488" s="74"/>
      <c r="AY488" s="74"/>
      <c r="AZ488" s="74"/>
    </row>
    <row r="489">
      <c r="A489" s="71"/>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c r="AM489" s="74"/>
      <c r="AN489" s="74"/>
      <c r="AO489" s="74"/>
      <c r="AP489" s="74"/>
      <c r="AQ489" s="74"/>
      <c r="AR489" s="74"/>
      <c r="AS489" s="74"/>
      <c r="AT489" s="74"/>
      <c r="AU489" s="74"/>
      <c r="AV489" s="74"/>
      <c r="AW489" s="74"/>
      <c r="AX489" s="74"/>
      <c r="AY489" s="74"/>
      <c r="AZ489" s="74"/>
    </row>
    <row r="490">
      <c r="A490" s="71"/>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c r="AM490" s="74"/>
      <c r="AN490" s="74"/>
      <c r="AO490" s="74"/>
      <c r="AP490" s="74"/>
      <c r="AQ490" s="74"/>
      <c r="AR490" s="74"/>
      <c r="AS490" s="74"/>
      <c r="AT490" s="74"/>
      <c r="AU490" s="74"/>
      <c r="AV490" s="74"/>
      <c r="AW490" s="74"/>
      <c r="AX490" s="74"/>
      <c r="AY490" s="74"/>
      <c r="AZ490" s="74"/>
    </row>
    <row r="491">
      <c r="A491" s="71"/>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c r="AM491" s="74"/>
      <c r="AN491" s="74"/>
      <c r="AO491" s="74"/>
      <c r="AP491" s="74"/>
      <c r="AQ491" s="74"/>
      <c r="AR491" s="74"/>
      <c r="AS491" s="74"/>
      <c r="AT491" s="74"/>
      <c r="AU491" s="74"/>
      <c r="AV491" s="74"/>
      <c r="AW491" s="74"/>
      <c r="AX491" s="74"/>
      <c r="AY491" s="74"/>
      <c r="AZ491" s="74"/>
    </row>
    <row r="492">
      <c r="A492" s="71"/>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c r="AJ492" s="74"/>
      <c r="AK492" s="74"/>
      <c r="AL492" s="74"/>
      <c r="AM492" s="74"/>
      <c r="AN492" s="74"/>
      <c r="AO492" s="74"/>
      <c r="AP492" s="74"/>
      <c r="AQ492" s="74"/>
      <c r="AR492" s="74"/>
      <c r="AS492" s="74"/>
      <c r="AT492" s="74"/>
      <c r="AU492" s="74"/>
      <c r="AV492" s="74"/>
      <c r="AW492" s="74"/>
      <c r="AX492" s="74"/>
      <c r="AY492" s="74"/>
      <c r="AZ492" s="74"/>
    </row>
    <row r="493">
      <c r="A493" s="71"/>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c r="AJ493" s="74"/>
      <c r="AK493" s="74"/>
      <c r="AL493" s="74"/>
      <c r="AM493" s="74"/>
      <c r="AN493" s="74"/>
      <c r="AO493" s="74"/>
      <c r="AP493" s="74"/>
      <c r="AQ493" s="74"/>
      <c r="AR493" s="74"/>
      <c r="AS493" s="74"/>
      <c r="AT493" s="74"/>
      <c r="AU493" s="74"/>
      <c r="AV493" s="74"/>
      <c r="AW493" s="74"/>
      <c r="AX493" s="74"/>
      <c r="AY493" s="74"/>
      <c r="AZ493" s="74"/>
    </row>
    <row r="494">
      <c r="A494" s="71"/>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c r="AJ494" s="74"/>
      <c r="AK494" s="74"/>
      <c r="AL494" s="74"/>
      <c r="AM494" s="74"/>
      <c r="AN494" s="74"/>
      <c r="AO494" s="74"/>
      <c r="AP494" s="74"/>
      <c r="AQ494" s="74"/>
      <c r="AR494" s="74"/>
      <c r="AS494" s="74"/>
      <c r="AT494" s="74"/>
      <c r="AU494" s="74"/>
      <c r="AV494" s="74"/>
      <c r="AW494" s="74"/>
      <c r="AX494" s="74"/>
      <c r="AY494" s="74"/>
      <c r="AZ494" s="74"/>
    </row>
    <row r="495">
      <c r="A495" s="71"/>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c r="AJ495" s="74"/>
      <c r="AK495" s="74"/>
      <c r="AL495" s="74"/>
      <c r="AM495" s="74"/>
      <c r="AN495" s="74"/>
      <c r="AO495" s="74"/>
      <c r="AP495" s="74"/>
      <c r="AQ495" s="74"/>
      <c r="AR495" s="74"/>
      <c r="AS495" s="74"/>
      <c r="AT495" s="74"/>
      <c r="AU495" s="74"/>
      <c r="AV495" s="74"/>
      <c r="AW495" s="74"/>
      <c r="AX495" s="74"/>
      <c r="AY495" s="74"/>
      <c r="AZ495" s="74"/>
    </row>
    <row r="496">
      <c r="A496" s="71"/>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c r="AJ496" s="74"/>
      <c r="AK496" s="74"/>
      <c r="AL496" s="74"/>
      <c r="AM496" s="74"/>
      <c r="AN496" s="74"/>
      <c r="AO496" s="74"/>
      <c r="AP496" s="74"/>
      <c r="AQ496" s="74"/>
      <c r="AR496" s="74"/>
      <c r="AS496" s="74"/>
      <c r="AT496" s="74"/>
      <c r="AU496" s="74"/>
      <c r="AV496" s="74"/>
      <c r="AW496" s="74"/>
      <c r="AX496" s="74"/>
      <c r="AY496" s="74"/>
      <c r="AZ496" s="74"/>
    </row>
    <row r="497">
      <c r="A497" s="71"/>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c r="AJ497" s="74"/>
      <c r="AK497" s="74"/>
      <c r="AL497" s="74"/>
      <c r="AM497" s="74"/>
      <c r="AN497" s="74"/>
      <c r="AO497" s="74"/>
      <c r="AP497" s="74"/>
      <c r="AQ497" s="74"/>
      <c r="AR497" s="74"/>
      <c r="AS497" s="74"/>
      <c r="AT497" s="74"/>
      <c r="AU497" s="74"/>
      <c r="AV497" s="74"/>
      <c r="AW497" s="74"/>
      <c r="AX497" s="74"/>
      <c r="AY497" s="74"/>
      <c r="AZ497" s="74"/>
    </row>
    <row r="498">
      <c r="A498" s="71"/>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c r="AJ498" s="74"/>
      <c r="AK498" s="74"/>
      <c r="AL498" s="74"/>
      <c r="AM498" s="74"/>
      <c r="AN498" s="74"/>
      <c r="AO498" s="74"/>
      <c r="AP498" s="74"/>
      <c r="AQ498" s="74"/>
      <c r="AR498" s="74"/>
      <c r="AS498" s="74"/>
      <c r="AT498" s="74"/>
      <c r="AU498" s="74"/>
      <c r="AV498" s="74"/>
      <c r="AW498" s="74"/>
      <c r="AX498" s="74"/>
      <c r="AY498" s="74"/>
      <c r="AZ498" s="74"/>
    </row>
    <row r="499">
      <c r="A499" s="71"/>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c r="AM499" s="74"/>
      <c r="AN499" s="74"/>
      <c r="AO499" s="74"/>
      <c r="AP499" s="74"/>
      <c r="AQ499" s="74"/>
      <c r="AR499" s="74"/>
      <c r="AS499" s="74"/>
      <c r="AT499" s="74"/>
      <c r="AU499" s="74"/>
      <c r="AV499" s="74"/>
      <c r="AW499" s="74"/>
      <c r="AX499" s="74"/>
      <c r="AY499" s="74"/>
      <c r="AZ499" s="74"/>
    </row>
    <row r="500">
      <c r="A500" s="71"/>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c r="AJ500" s="74"/>
      <c r="AK500" s="74"/>
      <c r="AL500" s="74"/>
      <c r="AM500" s="74"/>
      <c r="AN500" s="74"/>
      <c r="AO500" s="74"/>
      <c r="AP500" s="74"/>
      <c r="AQ500" s="74"/>
      <c r="AR500" s="74"/>
      <c r="AS500" s="74"/>
      <c r="AT500" s="74"/>
      <c r="AU500" s="74"/>
      <c r="AV500" s="74"/>
      <c r="AW500" s="74"/>
      <c r="AX500" s="74"/>
      <c r="AY500" s="74"/>
      <c r="AZ500" s="74"/>
    </row>
    <row r="501">
      <c r="A501" s="71"/>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c r="AJ501" s="74"/>
      <c r="AK501" s="74"/>
      <c r="AL501" s="74"/>
      <c r="AM501" s="74"/>
      <c r="AN501" s="74"/>
      <c r="AO501" s="74"/>
      <c r="AP501" s="74"/>
      <c r="AQ501" s="74"/>
      <c r="AR501" s="74"/>
      <c r="AS501" s="74"/>
      <c r="AT501" s="74"/>
      <c r="AU501" s="74"/>
      <c r="AV501" s="74"/>
      <c r="AW501" s="74"/>
      <c r="AX501" s="74"/>
      <c r="AY501" s="74"/>
      <c r="AZ501" s="74"/>
    </row>
    <row r="502">
      <c r="A502" s="71"/>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c r="AJ502" s="74"/>
      <c r="AK502" s="74"/>
      <c r="AL502" s="74"/>
      <c r="AM502" s="74"/>
      <c r="AN502" s="74"/>
      <c r="AO502" s="74"/>
      <c r="AP502" s="74"/>
      <c r="AQ502" s="74"/>
      <c r="AR502" s="74"/>
      <c r="AS502" s="74"/>
      <c r="AT502" s="74"/>
      <c r="AU502" s="74"/>
      <c r="AV502" s="74"/>
      <c r="AW502" s="74"/>
      <c r="AX502" s="74"/>
      <c r="AY502" s="74"/>
      <c r="AZ502" s="74"/>
    </row>
    <row r="503">
      <c r="A503" s="71"/>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c r="AJ503" s="74"/>
      <c r="AK503" s="74"/>
      <c r="AL503" s="74"/>
      <c r="AM503" s="74"/>
      <c r="AN503" s="74"/>
      <c r="AO503" s="74"/>
      <c r="AP503" s="74"/>
      <c r="AQ503" s="74"/>
      <c r="AR503" s="74"/>
      <c r="AS503" s="74"/>
      <c r="AT503" s="74"/>
      <c r="AU503" s="74"/>
      <c r="AV503" s="74"/>
      <c r="AW503" s="74"/>
      <c r="AX503" s="74"/>
      <c r="AY503" s="74"/>
      <c r="AZ503" s="74"/>
    </row>
    <row r="504">
      <c r="A504" s="71"/>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c r="AJ504" s="74"/>
      <c r="AK504" s="74"/>
      <c r="AL504" s="74"/>
      <c r="AM504" s="74"/>
      <c r="AN504" s="74"/>
      <c r="AO504" s="74"/>
      <c r="AP504" s="74"/>
      <c r="AQ504" s="74"/>
      <c r="AR504" s="74"/>
      <c r="AS504" s="74"/>
      <c r="AT504" s="74"/>
      <c r="AU504" s="74"/>
      <c r="AV504" s="74"/>
      <c r="AW504" s="74"/>
      <c r="AX504" s="74"/>
      <c r="AY504" s="74"/>
      <c r="AZ504" s="74"/>
    </row>
    <row r="505">
      <c r="A505" s="71"/>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c r="AJ505" s="74"/>
      <c r="AK505" s="74"/>
      <c r="AL505" s="74"/>
      <c r="AM505" s="74"/>
      <c r="AN505" s="74"/>
      <c r="AO505" s="74"/>
      <c r="AP505" s="74"/>
      <c r="AQ505" s="74"/>
      <c r="AR505" s="74"/>
      <c r="AS505" s="74"/>
      <c r="AT505" s="74"/>
      <c r="AU505" s="74"/>
      <c r="AV505" s="74"/>
      <c r="AW505" s="74"/>
      <c r="AX505" s="74"/>
      <c r="AY505" s="74"/>
      <c r="AZ505" s="74"/>
    </row>
    <row r="506">
      <c r="A506" s="71"/>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c r="AJ506" s="74"/>
      <c r="AK506" s="74"/>
      <c r="AL506" s="74"/>
      <c r="AM506" s="74"/>
      <c r="AN506" s="74"/>
      <c r="AO506" s="74"/>
      <c r="AP506" s="74"/>
      <c r="AQ506" s="74"/>
      <c r="AR506" s="74"/>
      <c r="AS506" s="74"/>
      <c r="AT506" s="74"/>
      <c r="AU506" s="74"/>
      <c r="AV506" s="74"/>
      <c r="AW506" s="74"/>
      <c r="AX506" s="74"/>
      <c r="AY506" s="74"/>
      <c r="AZ506" s="74"/>
    </row>
    <row r="507">
      <c r="A507" s="71"/>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c r="AJ507" s="74"/>
      <c r="AK507" s="74"/>
      <c r="AL507" s="74"/>
      <c r="AM507" s="74"/>
      <c r="AN507" s="74"/>
      <c r="AO507" s="74"/>
      <c r="AP507" s="74"/>
      <c r="AQ507" s="74"/>
      <c r="AR507" s="74"/>
      <c r="AS507" s="74"/>
      <c r="AT507" s="74"/>
      <c r="AU507" s="74"/>
      <c r="AV507" s="74"/>
      <c r="AW507" s="74"/>
      <c r="AX507" s="74"/>
      <c r="AY507" s="74"/>
      <c r="AZ507" s="74"/>
    </row>
    <row r="508">
      <c r="A508" s="71"/>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c r="AJ508" s="74"/>
      <c r="AK508" s="74"/>
      <c r="AL508" s="74"/>
      <c r="AM508" s="74"/>
      <c r="AN508" s="74"/>
      <c r="AO508" s="74"/>
      <c r="AP508" s="74"/>
      <c r="AQ508" s="74"/>
      <c r="AR508" s="74"/>
      <c r="AS508" s="74"/>
      <c r="AT508" s="74"/>
      <c r="AU508" s="74"/>
      <c r="AV508" s="74"/>
      <c r="AW508" s="74"/>
      <c r="AX508" s="74"/>
      <c r="AY508" s="74"/>
      <c r="AZ508" s="74"/>
    </row>
    <row r="509">
      <c r="A509" s="71"/>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c r="AJ509" s="74"/>
      <c r="AK509" s="74"/>
      <c r="AL509" s="74"/>
      <c r="AM509" s="74"/>
      <c r="AN509" s="74"/>
      <c r="AO509" s="74"/>
      <c r="AP509" s="74"/>
      <c r="AQ509" s="74"/>
      <c r="AR509" s="74"/>
      <c r="AS509" s="74"/>
      <c r="AT509" s="74"/>
      <c r="AU509" s="74"/>
      <c r="AV509" s="74"/>
      <c r="AW509" s="74"/>
      <c r="AX509" s="74"/>
      <c r="AY509" s="74"/>
      <c r="AZ509" s="74"/>
    </row>
    <row r="510">
      <c r="A510" s="71"/>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c r="AJ510" s="74"/>
      <c r="AK510" s="74"/>
      <c r="AL510" s="74"/>
      <c r="AM510" s="74"/>
      <c r="AN510" s="74"/>
      <c r="AO510" s="74"/>
      <c r="AP510" s="74"/>
      <c r="AQ510" s="74"/>
      <c r="AR510" s="74"/>
      <c r="AS510" s="74"/>
      <c r="AT510" s="74"/>
      <c r="AU510" s="74"/>
      <c r="AV510" s="74"/>
      <c r="AW510" s="74"/>
      <c r="AX510" s="74"/>
      <c r="AY510" s="74"/>
      <c r="AZ510" s="74"/>
    </row>
    <row r="511">
      <c r="A511" s="71"/>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c r="AJ511" s="74"/>
      <c r="AK511" s="74"/>
      <c r="AL511" s="74"/>
      <c r="AM511" s="74"/>
      <c r="AN511" s="74"/>
      <c r="AO511" s="74"/>
      <c r="AP511" s="74"/>
      <c r="AQ511" s="74"/>
      <c r="AR511" s="74"/>
      <c r="AS511" s="74"/>
      <c r="AT511" s="74"/>
      <c r="AU511" s="74"/>
      <c r="AV511" s="74"/>
      <c r="AW511" s="74"/>
      <c r="AX511" s="74"/>
      <c r="AY511" s="74"/>
      <c r="AZ511" s="74"/>
    </row>
    <row r="512">
      <c r="A512" s="71"/>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c r="AM512" s="74"/>
      <c r="AN512" s="74"/>
      <c r="AO512" s="74"/>
      <c r="AP512" s="74"/>
      <c r="AQ512" s="74"/>
      <c r="AR512" s="74"/>
      <c r="AS512" s="74"/>
      <c r="AT512" s="74"/>
      <c r="AU512" s="74"/>
      <c r="AV512" s="74"/>
      <c r="AW512" s="74"/>
      <c r="AX512" s="74"/>
      <c r="AY512" s="74"/>
      <c r="AZ512" s="74"/>
    </row>
    <row r="513">
      <c r="A513" s="71"/>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c r="AJ513" s="74"/>
      <c r="AK513" s="74"/>
      <c r="AL513" s="74"/>
      <c r="AM513" s="74"/>
      <c r="AN513" s="74"/>
      <c r="AO513" s="74"/>
      <c r="AP513" s="74"/>
      <c r="AQ513" s="74"/>
      <c r="AR513" s="74"/>
      <c r="AS513" s="74"/>
      <c r="AT513" s="74"/>
      <c r="AU513" s="74"/>
      <c r="AV513" s="74"/>
      <c r="AW513" s="74"/>
      <c r="AX513" s="74"/>
      <c r="AY513" s="74"/>
      <c r="AZ513" s="74"/>
    </row>
    <row r="514">
      <c r="A514" s="71"/>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c r="AM514" s="74"/>
      <c r="AN514" s="74"/>
      <c r="AO514" s="74"/>
      <c r="AP514" s="74"/>
      <c r="AQ514" s="74"/>
      <c r="AR514" s="74"/>
      <c r="AS514" s="74"/>
      <c r="AT514" s="74"/>
      <c r="AU514" s="74"/>
      <c r="AV514" s="74"/>
      <c r="AW514" s="74"/>
      <c r="AX514" s="74"/>
      <c r="AY514" s="74"/>
      <c r="AZ514" s="74"/>
    </row>
    <row r="515">
      <c r="A515" s="71"/>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c r="AM515" s="74"/>
      <c r="AN515" s="74"/>
      <c r="AO515" s="74"/>
      <c r="AP515" s="74"/>
      <c r="AQ515" s="74"/>
      <c r="AR515" s="74"/>
      <c r="AS515" s="74"/>
      <c r="AT515" s="74"/>
      <c r="AU515" s="74"/>
      <c r="AV515" s="74"/>
      <c r="AW515" s="74"/>
      <c r="AX515" s="74"/>
      <c r="AY515" s="74"/>
      <c r="AZ515" s="74"/>
    </row>
    <row r="516">
      <c r="A516" s="71"/>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c r="AJ516" s="74"/>
      <c r="AK516" s="74"/>
      <c r="AL516" s="74"/>
      <c r="AM516" s="74"/>
      <c r="AN516" s="74"/>
      <c r="AO516" s="74"/>
      <c r="AP516" s="74"/>
      <c r="AQ516" s="74"/>
      <c r="AR516" s="74"/>
      <c r="AS516" s="74"/>
      <c r="AT516" s="74"/>
      <c r="AU516" s="74"/>
      <c r="AV516" s="74"/>
      <c r="AW516" s="74"/>
      <c r="AX516" s="74"/>
      <c r="AY516" s="74"/>
      <c r="AZ516" s="74"/>
    </row>
    <row r="517">
      <c r="A517" s="71"/>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c r="AJ517" s="74"/>
      <c r="AK517" s="74"/>
      <c r="AL517" s="74"/>
      <c r="AM517" s="74"/>
      <c r="AN517" s="74"/>
      <c r="AO517" s="74"/>
      <c r="AP517" s="74"/>
      <c r="AQ517" s="74"/>
      <c r="AR517" s="74"/>
      <c r="AS517" s="74"/>
      <c r="AT517" s="74"/>
      <c r="AU517" s="74"/>
      <c r="AV517" s="74"/>
      <c r="AW517" s="74"/>
      <c r="AX517" s="74"/>
      <c r="AY517" s="74"/>
      <c r="AZ517" s="74"/>
    </row>
    <row r="518">
      <c r="A518" s="71"/>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c r="AJ518" s="74"/>
      <c r="AK518" s="74"/>
      <c r="AL518" s="74"/>
      <c r="AM518" s="74"/>
      <c r="AN518" s="74"/>
      <c r="AO518" s="74"/>
      <c r="AP518" s="74"/>
      <c r="AQ518" s="74"/>
      <c r="AR518" s="74"/>
      <c r="AS518" s="74"/>
      <c r="AT518" s="74"/>
      <c r="AU518" s="74"/>
      <c r="AV518" s="74"/>
      <c r="AW518" s="74"/>
      <c r="AX518" s="74"/>
      <c r="AY518" s="74"/>
      <c r="AZ518" s="74"/>
    </row>
    <row r="519">
      <c r="A519" s="71"/>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c r="AM519" s="74"/>
      <c r="AN519" s="74"/>
      <c r="AO519" s="74"/>
      <c r="AP519" s="74"/>
      <c r="AQ519" s="74"/>
      <c r="AR519" s="74"/>
      <c r="AS519" s="74"/>
      <c r="AT519" s="74"/>
      <c r="AU519" s="74"/>
      <c r="AV519" s="74"/>
      <c r="AW519" s="74"/>
      <c r="AX519" s="74"/>
      <c r="AY519" s="74"/>
      <c r="AZ519" s="74"/>
    </row>
    <row r="520">
      <c r="A520" s="71"/>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c r="AM520" s="74"/>
      <c r="AN520" s="74"/>
      <c r="AO520" s="74"/>
      <c r="AP520" s="74"/>
      <c r="AQ520" s="74"/>
      <c r="AR520" s="74"/>
      <c r="AS520" s="74"/>
      <c r="AT520" s="74"/>
      <c r="AU520" s="74"/>
      <c r="AV520" s="74"/>
      <c r="AW520" s="74"/>
      <c r="AX520" s="74"/>
      <c r="AY520" s="74"/>
      <c r="AZ520" s="74"/>
    </row>
    <row r="521">
      <c r="A521" s="71"/>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c r="AJ521" s="74"/>
      <c r="AK521" s="74"/>
      <c r="AL521" s="74"/>
      <c r="AM521" s="74"/>
      <c r="AN521" s="74"/>
      <c r="AO521" s="74"/>
      <c r="AP521" s="74"/>
      <c r="AQ521" s="74"/>
      <c r="AR521" s="74"/>
      <c r="AS521" s="74"/>
      <c r="AT521" s="74"/>
      <c r="AU521" s="74"/>
      <c r="AV521" s="74"/>
      <c r="AW521" s="74"/>
      <c r="AX521" s="74"/>
      <c r="AY521" s="74"/>
      <c r="AZ521" s="74"/>
    </row>
    <row r="522">
      <c r="A522" s="71"/>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c r="AJ522" s="74"/>
      <c r="AK522" s="74"/>
      <c r="AL522" s="74"/>
      <c r="AM522" s="74"/>
      <c r="AN522" s="74"/>
      <c r="AO522" s="74"/>
      <c r="AP522" s="74"/>
      <c r="AQ522" s="74"/>
      <c r="AR522" s="74"/>
      <c r="AS522" s="74"/>
      <c r="AT522" s="74"/>
      <c r="AU522" s="74"/>
      <c r="AV522" s="74"/>
      <c r="AW522" s="74"/>
      <c r="AX522" s="74"/>
      <c r="AY522" s="74"/>
      <c r="AZ522" s="74"/>
    </row>
    <row r="523">
      <c r="A523" s="71"/>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c r="AJ523" s="74"/>
      <c r="AK523" s="74"/>
      <c r="AL523" s="74"/>
      <c r="AM523" s="74"/>
      <c r="AN523" s="74"/>
      <c r="AO523" s="74"/>
      <c r="AP523" s="74"/>
      <c r="AQ523" s="74"/>
      <c r="AR523" s="74"/>
      <c r="AS523" s="74"/>
      <c r="AT523" s="74"/>
      <c r="AU523" s="74"/>
      <c r="AV523" s="74"/>
      <c r="AW523" s="74"/>
      <c r="AX523" s="74"/>
      <c r="AY523" s="74"/>
      <c r="AZ523" s="74"/>
    </row>
    <row r="524">
      <c r="A524" s="71"/>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c r="AJ524" s="74"/>
      <c r="AK524" s="74"/>
      <c r="AL524" s="74"/>
      <c r="AM524" s="74"/>
      <c r="AN524" s="74"/>
      <c r="AO524" s="74"/>
      <c r="AP524" s="74"/>
      <c r="AQ524" s="74"/>
      <c r="AR524" s="74"/>
      <c r="AS524" s="74"/>
      <c r="AT524" s="74"/>
      <c r="AU524" s="74"/>
      <c r="AV524" s="74"/>
      <c r="AW524" s="74"/>
      <c r="AX524" s="74"/>
      <c r="AY524" s="74"/>
      <c r="AZ524" s="74"/>
    </row>
    <row r="525">
      <c r="A525" s="71"/>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c r="AJ525" s="74"/>
      <c r="AK525" s="74"/>
      <c r="AL525" s="74"/>
      <c r="AM525" s="74"/>
      <c r="AN525" s="74"/>
      <c r="AO525" s="74"/>
      <c r="AP525" s="74"/>
      <c r="AQ525" s="74"/>
      <c r="AR525" s="74"/>
      <c r="AS525" s="74"/>
      <c r="AT525" s="74"/>
      <c r="AU525" s="74"/>
      <c r="AV525" s="74"/>
      <c r="AW525" s="74"/>
      <c r="AX525" s="74"/>
      <c r="AY525" s="74"/>
      <c r="AZ525" s="74"/>
    </row>
    <row r="526">
      <c r="A526" s="71"/>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c r="AJ526" s="74"/>
      <c r="AK526" s="74"/>
      <c r="AL526" s="74"/>
      <c r="AM526" s="74"/>
      <c r="AN526" s="74"/>
      <c r="AO526" s="74"/>
      <c r="AP526" s="74"/>
      <c r="AQ526" s="74"/>
      <c r="AR526" s="74"/>
      <c r="AS526" s="74"/>
      <c r="AT526" s="74"/>
      <c r="AU526" s="74"/>
      <c r="AV526" s="74"/>
      <c r="AW526" s="74"/>
      <c r="AX526" s="74"/>
      <c r="AY526" s="74"/>
      <c r="AZ526" s="74"/>
    </row>
    <row r="527">
      <c r="A527" s="71"/>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c r="AM527" s="74"/>
      <c r="AN527" s="74"/>
      <c r="AO527" s="74"/>
      <c r="AP527" s="74"/>
      <c r="AQ527" s="74"/>
      <c r="AR527" s="74"/>
      <c r="AS527" s="74"/>
      <c r="AT527" s="74"/>
      <c r="AU527" s="74"/>
      <c r="AV527" s="74"/>
      <c r="AW527" s="74"/>
      <c r="AX527" s="74"/>
      <c r="AY527" s="74"/>
      <c r="AZ527" s="74"/>
    </row>
    <row r="528">
      <c r="A528" s="71"/>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c r="AJ528" s="74"/>
      <c r="AK528" s="74"/>
      <c r="AL528" s="74"/>
      <c r="AM528" s="74"/>
      <c r="AN528" s="74"/>
      <c r="AO528" s="74"/>
      <c r="AP528" s="74"/>
      <c r="AQ528" s="74"/>
      <c r="AR528" s="74"/>
      <c r="AS528" s="74"/>
      <c r="AT528" s="74"/>
      <c r="AU528" s="74"/>
      <c r="AV528" s="74"/>
      <c r="AW528" s="74"/>
      <c r="AX528" s="74"/>
      <c r="AY528" s="74"/>
      <c r="AZ528" s="74"/>
    </row>
    <row r="529">
      <c r="A529" s="71"/>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c r="AM529" s="74"/>
      <c r="AN529" s="74"/>
      <c r="AO529" s="74"/>
      <c r="AP529" s="74"/>
      <c r="AQ529" s="74"/>
      <c r="AR529" s="74"/>
      <c r="AS529" s="74"/>
      <c r="AT529" s="74"/>
      <c r="AU529" s="74"/>
      <c r="AV529" s="74"/>
      <c r="AW529" s="74"/>
      <c r="AX529" s="74"/>
      <c r="AY529" s="74"/>
      <c r="AZ529" s="74"/>
    </row>
    <row r="530">
      <c r="A530" s="71"/>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c r="AJ530" s="74"/>
      <c r="AK530" s="74"/>
      <c r="AL530" s="74"/>
      <c r="AM530" s="74"/>
      <c r="AN530" s="74"/>
      <c r="AO530" s="74"/>
      <c r="AP530" s="74"/>
      <c r="AQ530" s="74"/>
      <c r="AR530" s="74"/>
      <c r="AS530" s="74"/>
      <c r="AT530" s="74"/>
      <c r="AU530" s="74"/>
      <c r="AV530" s="74"/>
      <c r="AW530" s="74"/>
      <c r="AX530" s="74"/>
      <c r="AY530" s="74"/>
      <c r="AZ530" s="74"/>
    </row>
    <row r="531">
      <c r="A531" s="71"/>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c r="AJ531" s="74"/>
      <c r="AK531" s="74"/>
      <c r="AL531" s="74"/>
      <c r="AM531" s="74"/>
      <c r="AN531" s="74"/>
      <c r="AO531" s="74"/>
      <c r="AP531" s="74"/>
      <c r="AQ531" s="74"/>
      <c r="AR531" s="74"/>
      <c r="AS531" s="74"/>
      <c r="AT531" s="74"/>
      <c r="AU531" s="74"/>
      <c r="AV531" s="74"/>
      <c r="AW531" s="74"/>
      <c r="AX531" s="74"/>
      <c r="AY531" s="74"/>
      <c r="AZ531" s="74"/>
    </row>
    <row r="532">
      <c r="A532" s="71"/>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c r="AJ532" s="74"/>
      <c r="AK532" s="74"/>
      <c r="AL532" s="74"/>
      <c r="AM532" s="74"/>
      <c r="AN532" s="74"/>
      <c r="AO532" s="74"/>
      <c r="AP532" s="74"/>
      <c r="AQ532" s="74"/>
      <c r="AR532" s="74"/>
      <c r="AS532" s="74"/>
      <c r="AT532" s="74"/>
      <c r="AU532" s="74"/>
      <c r="AV532" s="74"/>
      <c r="AW532" s="74"/>
      <c r="AX532" s="74"/>
      <c r="AY532" s="74"/>
      <c r="AZ532" s="74"/>
    </row>
    <row r="533">
      <c r="A533" s="71"/>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c r="AJ533" s="74"/>
      <c r="AK533" s="74"/>
      <c r="AL533" s="74"/>
      <c r="AM533" s="74"/>
      <c r="AN533" s="74"/>
      <c r="AO533" s="74"/>
      <c r="AP533" s="74"/>
      <c r="AQ533" s="74"/>
      <c r="AR533" s="74"/>
      <c r="AS533" s="74"/>
      <c r="AT533" s="74"/>
      <c r="AU533" s="74"/>
      <c r="AV533" s="74"/>
      <c r="AW533" s="74"/>
      <c r="AX533" s="74"/>
      <c r="AY533" s="74"/>
      <c r="AZ533" s="74"/>
    </row>
    <row r="534">
      <c r="A534" s="71"/>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c r="AJ534" s="74"/>
      <c r="AK534" s="74"/>
      <c r="AL534" s="74"/>
      <c r="AM534" s="74"/>
      <c r="AN534" s="74"/>
      <c r="AO534" s="74"/>
      <c r="AP534" s="74"/>
      <c r="AQ534" s="74"/>
      <c r="AR534" s="74"/>
      <c r="AS534" s="74"/>
      <c r="AT534" s="74"/>
      <c r="AU534" s="74"/>
      <c r="AV534" s="74"/>
      <c r="AW534" s="74"/>
      <c r="AX534" s="74"/>
      <c r="AY534" s="74"/>
      <c r="AZ534" s="74"/>
    </row>
    <row r="535">
      <c r="A535" s="71"/>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c r="AJ535" s="74"/>
      <c r="AK535" s="74"/>
      <c r="AL535" s="74"/>
      <c r="AM535" s="74"/>
      <c r="AN535" s="74"/>
      <c r="AO535" s="74"/>
      <c r="AP535" s="74"/>
      <c r="AQ535" s="74"/>
      <c r="AR535" s="74"/>
      <c r="AS535" s="74"/>
      <c r="AT535" s="74"/>
      <c r="AU535" s="74"/>
      <c r="AV535" s="74"/>
      <c r="AW535" s="74"/>
      <c r="AX535" s="74"/>
      <c r="AY535" s="74"/>
      <c r="AZ535" s="74"/>
    </row>
    <row r="536">
      <c r="A536" s="71"/>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c r="AJ536" s="74"/>
      <c r="AK536" s="74"/>
      <c r="AL536" s="74"/>
      <c r="AM536" s="74"/>
      <c r="AN536" s="74"/>
      <c r="AO536" s="74"/>
      <c r="AP536" s="74"/>
      <c r="AQ536" s="74"/>
      <c r="AR536" s="74"/>
      <c r="AS536" s="74"/>
      <c r="AT536" s="74"/>
      <c r="AU536" s="74"/>
      <c r="AV536" s="74"/>
      <c r="AW536" s="74"/>
      <c r="AX536" s="74"/>
      <c r="AY536" s="74"/>
      <c r="AZ536" s="74"/>
    </row>
    <row r="537">
      <c r="A537" s="71"/>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c r="AJ537" s="74"/>
      <c r="AK537" s="74"/>
      <c r="AL537" s="74"/>
      <c r="AM537" s="74"/>
      <c r="AN537" s="74"/>
      <c r="AO537" s="74"/>
      <c r="AP537" s="74"/>
      <c r="AQ537" s="74"/>
      <c r="AR537" s="74"/>
      <c r="AS537" s="74"/>
      <c r="AT537" s="74"/>
      <c r="AU537" s="74"/>
      <c r="AV537" s="74"/>
      <c r="AW537" s="74"/>
      <c r="AX537" s="74"/>
      <c r="AY537" s="74"/>
      <c r="AZ537" s="74"/>
    </row>
    <row r="538">
      <c r="A538" s="71"/>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c r="AJ538" s="74"/>
      <c r="AK538" s="74"/>
      <c r="AL538" s="74"/>
      <c r="AM538" s="74"/>
      <c r="AN538" s="74"/>
      <c r="AO538" s="74"/>
      <c r="AP538" s="74"/>
      <c r="AQ538" s="74"/>
      <c r="AR538" s="74"/>
      <c r="AS538" s="74"/>
      <c r="AT538" s="74"/>
      <c r="AU538" s="74"/>
      <c r="AV538" s="74"/>
      <c r="AW538" s="74"/>
      <c r="AX538" s="74"/>
      <c r="AY538" s="74"/>
      <c r="AZ538" s="74"/>
    </row>
    <row r="539">
      <c r="A539" s="71"/>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c r="AJ539" s="74"/>
      <c r="AK539" s="74"/>
      <c r="AL539" s="74"/>
      <c r="AM539" s="74"/>
      <c r="AN539" s="74"/>
      <c r="AO539" s="74"/>
      <c r="AP539" s="74"/>
      <c r="AQ539" s="74"/>
      <c r="AR539" s="74"/>
      <c r="AS539" s="74"/>
      <c r="AT539" s="74"/>
      <c r="AU539" s="74"/>
      <c r="AV539" s="74"/>
      <c r="AW539" s="74"/>
      <c r="AX539" s="74"/>
      <c r="AY539" s="74"/>
      <c r="AZ539" s="74"/>
    </row>
    <row r="540">
      <c r="A540" s="71"/>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c r="AJ540" s="74"/>
      <c r="AK540" s="74"/>
      <c r="AL540" s="74"/>
      <c r="AM540" s="74"/>
      <c r="AN540" s="74"/>
      <c r="AO540" s="74"/>
      <c r="AP540" s="74"/>
      <c r="AQ540" s="74"/>
      <c r="AR540" s="74"/>
      <c r="AS540" s="74"/>
      <c r="AT540" s="74"/>
      <c r="AU540" s="74"/>
      <c r="AV540" s="74"/>
      <c r="AW540" s="74"/>
      <c r="AX540" s="74"/>
      <c r="AY540" s="74"/>
      <c r="AZ540" s="74"/>
    </row>
    <row r="541">
      <c r="A541" s="71"/>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c r="AJ541" s="74"/>
      <c r="AK541" s="74"/>
      <c r="AL541" s="74"/>
      <c r="AM541" s="74"/>
      <c r="AN541" s="74"/>
      <c r="AO541" s="74"/>
      <c r="AP541" s="74"/>
      <c r="AQ541" s="74"/>
      <c r="AR541" s="74"/>
      <c r="AS541" s="74"/>
      <c r="AT541" s="74"/>
      <c r="AU541" s="74"/>
      <c r="AV541" s="74"/>
      <c r="AW541" s="74"/>
      <c r="AX541" s="74"/>
      <c r="AY541" s="74"/>
      <c r="AZ541" s="74"/>
    </row>
    <row r="542">
      <c r="A542" s="71"/>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c r="AJ542" s="74"/>
      <c r="AK542" s="74"/>
      <c r="AL542" s="74"/>
      <c r="AM542" s="74"/>
      <c r="AN542" s="74"/>
      <c r="AO542" s="74"/>
      <c r="AP542" s="74"/>
      <c r="AQ542" s="74"/>
      <c r="AR542" s="74"/>
      <c r="AS542" s="74"/>
      <c r="AT542" s="74"/>
      <c r="AU542" s="74"/>
      <c r="AV542" s="74"/>
      <c r="AW542" s="74"/>
      <c r="AX542" s="74"/>
      <c r="AY542" s="74"/>
      <c r="AZ542" s="74"/>
    </row>
    <row r="543">
      <c r="A543" s="71"/>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c r="AJ543" s="74"/>
      <c r="AK543" s="74"/>
      <c r="AL543" s="74"/>
      <c r="AM543" s="74"/>
      <c r="AN543" s="74"/>
      <c r="AO543" s="74"/>
      <c r="AP543" s="74"/>
      <c r="AQ543" s="74"/>
      <c r="AR543" s="74"/>
      <c r="AS543" s="74"/>
      <c r="AT543" s="74"/>
      <c r="AU543" s="74"/>
      <c r="AV543" s="74"/>
      <c r="AW543" s="74"/>
      <c r="AX543" s="74"/>
      <c r="AY543" s="74"/>
      <c r="AZ543" s="74"/>
    </row>
    <row r="544">
      <c r="A544" s="71"/>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c r="AM544" s="74"/>
      <c r="AN544" s="74"/>
      <c r="AO544" s="74"/>
      <c r="AP544" s="74"/>
      <c r="AQ544" s="74"/>
      <c r="AR544" s="74"/>
      <c r="AS544" s="74"/>
      <c r="AT544" s="74"/>
      <c r="AU544" s="74"/>
      <c r="AV544" s="74"/>
      <c r="AW544" s="74"/>
      <c r="AX544" s="74"/>
      <c r="AY544" s="74"/>
      <c r="AZ544" s="74"/>
    </row>
    <row r="545">
      <c r="A545" s="71"/>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c r="AJ545" s="74"/>
      <c r="AK545" s="74"/>
      <c r="AL545" s="74"/>
      <c r="AM545" s="74"/>
      <c r="AN545" s="74"/>
      <c r="AO545" s="74"/>
      <c r="AP545" s="74"/>
      <c r="AQ545" s="74"/>
      <c r="AR545" s="74"/>
      <c r="AS545" s="74"/>
      <c r="AT545" s="74"/>
      <c r="AU545" s="74"/>
      <c r="AV545" s="74"/>
      <c r="AW545" s="74"/>
      <c r="AX545" s="74"/>
      <c r="AY545" s="74"/>
      <c r="AZ545" s="74"/>
    </row>
    <row r="546">
      <c r="A546" s="71"/>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c r="AJ546" s="74"/>
      <c r="AK546" s="74"/>
      <c r="AL546" s="74"/>
      <c r="AM546" s="74"/>
      <c r="AN546" s="74"/>
      <c r="AO546" s="74"/>
      <c r="AP546" s="74"/>
      <c r="AQ546" s="74"/>
      <c r="AR546" s="74"/>
      <c r="AS546" s="74"/>
      <c r="AT546" s="74"/>
      <c r="AU546" s="74"/>
      <c r="AV546" s="74"/>
      <c r="AW546" s="74"/>
      <c r="AX546" s="74"/>
      <c r="AY546" s="74"/>
      <c r="AZ546" s="74"/>
    </row>
    <row r="547">
      <c r="A547" s="71"/>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c r="AJ547" s="74"/>
      <c r="AK547" s="74"/>
      <c r="AL547" s="74"/>
      <c r="AM547" s="74"/>
      <c r="AN547" s="74"/>
      <c r="AO547" s="74"/>
      <c r="AP547" s="74"/>
      <c r="AQ547" s="74"/>
      <c r="AR547" s="74"/>
      <c r="AS547" s="74"/>
      <c r="AT547" s="74"/>
      <c r="AU547" s="74"/>
      <c r="AV547" s="74"/>
      <c r="AW547" s="74"/>
      <c r="AX547" s="74"/>
      <c r="AY547" s="74"/>
      <c r="AZ547" s="74"/>
    </row>
    <row r="548">
      <c r="A548" s="71"/>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c r="AJ548" s="74"/>
      <c r="AK548" s="74"/>
      <c r="AL548" s="74"/>
      <c r="AM548" s="74"/>
      <c r="AN548" s="74"/>
      <c r="AO548" s="74"/>
      <c r="AP548" s="74"/>
      <c r="AQ548" s="74"/>
      <c r="AR548" s="74"/>
      <c r="AS548" s="74"/>
      <c r="AT548" s="74"/>
      <c r="AU548" s="74"/>
      <c r="AV548" s="74"/>
      <c r="AW548" s="74"/>
      <c r="AX548" s="74"/>
      <c r="AY548" s="74"/>
      <c r="AZ548" s="74"/>
    </row>
    <row r="549">
      <c r="A549" s="71"/>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c r="AJ549" s="74"/>
      <c r="AK549" s="74"/>
      <c r="AL549" s="74"/>
      <c r="AM549" s="74"/>
      <c r="AN549" s="74"/>
      <c r="AO549" s="74"/>
      <c r="AP549" s="74"/>
      <c r="AQ549" s="74"/>
      <c r="AR549" s="74"/>
      <c r="AS549" s="74"/>
      <c r="AT549" s="74"/>
      <c r="AU549" s="74"/>
      <c r="AV549" s="74"/>
      <c r="AW549" s="74"/>
      <c r="AX549" s="74"/>
      <c r="AY549" s="74"/>
      <c r="AZ549" s="74"/>
    </row>
    <row r="550">
      <c r="A550" s="71"/>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c r="AJ550" s="74"/>
      <c r="AK550" s="74"/>
      <c r="AL550" s="74"/>
      <c r="AM550" s="74"/>
      <c r="AN550" s="74"/>
      <c r="AO550" s="74"/>
      <c r="AP550" s="74"/>
      <c r="AQ550" s="74"/>
      <c r="AR550" s="74"/>
      <c r="AS550" s="74"/>
      <c r="AT550" s="74"/>
      <c r="AU550" s="74"/>
      <c r="AV550" s="74"/>
      <c r="AW550" s="74"/>
      <c r="AX550" s="74"/>
      <c r="AY550" s="74"/>
      <c r="AZ550" s="74"/>
    </row>
    <row r="551">
      <c r="A551" s="71"/>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c r="AJ551" s="74"/>
      <c r="AK551" s="74"/>
      <c r="AL551" s="74"/>
      <c r="AM551" s="74"/>
      <c r="AN551" s="74"/>
      <c r="AO551" s="74"/>
      <c r="AP551" s="74"/>
      <c r="AQ551" s="74"/>
      <c r="AR551" s="74"/>
      <c r="AS551" s="74"/>
      <c r="AT551" s="74"/>
      <c r="AU551" s="74"/>
      <c r="AV551" s="74"/>
      <c r="AW551" s="74"/>
      <c r="AX551" s="74"/>
      <c r="AY551" s="74"/>
      <c r="AZ551" s="74"/>
    </row>
    <row r="552">
      <c r="A552" s="71"/>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c r="AJ552" s="74"/>
      <c r="AK552" s="74"/>
      <c r="AL552" s="74"/>
      <c r="AM552" s="74"/>
      <c r="AN552" s="74"/>
      <c r="AO552" s="74"/>
      <c r="AP552" s="74"/>
      <c r="AQ552" s="74"/>
      <c r="AR552" s="74"/>
      <c r="AS552" s="74"/>
      <c r="AT552" s="74"/>
      <c r="AU552" s="74"/>
      <c r="AV552" s="74"/>
      <c r="AW552" s="74"/>
      <c r="AX552" s="74"/>
      <c r="AY552" s="74"/>
      <c r="AZ552" s="74"/>
    </row>
    <row r="553">
      <c r="A553" s="71"/>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c r="AJ553" s="74"/>
      <c r="AK553" s="74"/>
      <c r="AL553" s="74"/>
      <c r="AM553" s="74"/>
      <c r="AN553" s="74"/>
      <c r="AO553" s="74"/>
      <c r="AP553" s="74"/>
      <c r="AQ553" s="74"/>
      <c r="AR553" s="74"/>
      <c r="AS553" s="74"/>
      <c r="AT553" s="74"/>
      <c r="AU553" s="74"/>
      <c r="AV553" s="74"/>
      <c r="AW553" s="74"/>
      <c r="AX553" s="74"/>
      <c r="AY553" s="74"/>
      <c r="AZ553" s="74"/>
    </row>
    <row r="554">
      <c r="A554" s="71"/>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c r="AJ554" s="74"/>
      <c r="AK554" s="74"/>
      <c r="AL554" s="74"/>
      <c r="AM554" s="74"/>
      <c r="AN554" s="74"/>
      <c r="AO554" s="74"/>
      <c r="AP554" s="74"/>
      <c r="AQ554" s="74"/>
      <c r="AR554" s="74"/>
      <c r="AS554" s="74"/>
      <c r="AT554" s="74"/>
      <c r="AU554" s="74"/>
      <c r="AV554" s="74"/>
      <c r="AW554" s="74"/>
      <c r="AX554" s="74"/>
      <c r="AY554" s="74"/>
      <c r="AZ554" s="74"/>
    </row>
    <row r="555">
      <c r="A555" s="71"/>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c r="AJ555" s="74"/>
      <c r="AK555" s="74"/>
      <c r="AL555" s="74"/>
      <c r="AM555" s="74"/>
      <c r="AN555" s="74"/>
      <c r="AO555" s="74"/>
      <c r="AP555" s="74"/>
      <c r="AQ555" s="74"/>
      <c r="AR555" s="74"/>
      <c r="AS555" s="74"/>
      <c r="AT555" s="74"/>
      <c r="AU555" s="74"/>
      <c r="AV555" s="74"/>
      <c r="AW555" s="74"/>
      <c r="AX555" s="74"/>
      <c r="AY555" s="74"/>
      <c r="AZ555" s="74"/>
    </row>
    <row r="556">
      <c r="A556" s="71"/>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c r="AJ556" s="74"/>
      <c r="AK556" s="74"/>
      <c r="AL556" s="74"/>
      <c r="AM556" s="74"/>
      <c r="AN556" s="74"/>
      <c r="AO556" s="74"/>
      <c r="AP556" s="74"/>
      <c r="AQ556" s="74"/>
      <c r="AR556" s="74"/>
      <c r="AS556" s="74"/>
      <c r="AT556" s="74"/>
      <c r="AU556" s="74"/>
      <c r="AV556" s="74"/>
      <c r="AW556" s="74"/>
      <c r="AX556" s="74"/>
      <c r="AY556" s="74"/>
      <c r="AZ556" s="74"/>
    </row>
    <row r="557">
      <c r="A557" s="71"/>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c r="AJ557" s="74"/>
      <c r="AK557" s="74"/>
      <c r="AL557" s="74"/>
      <c r="AM557" s="74"/>
      <c r="AN557" s="74"/>
      <c r="AO557" s="74"/>
      <c r="AP557" s="74"/>
      <c r="AQ557" s="74"/>
      <c r="AR557" s="74"/>
      <c r="AS557" s="74"/>
      <c r="AT557" s="74"/>
      <c r="AU557" s="74"/>
      <c r="AV557" s="74"/>
      <c r="AW557" s="74"/>
      <c r="AX557" s="74"/>
      <c r="AY557" s="74"/>
      <c r="AZ557" s="74"/>
    </row>
    <row r="558">
      <c r="A558" s="71"/>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c r="AJ558" s="74"/>
      <c r="AK558" s="74"/>
      <c r="AL558" s="74"/>
      <c r="AM558" s="74"/>
      <c r="AN558" s="74"/>
      <c r="AO558" s="74"/>
      <c r="AP558" s="74"/>
      <c r="AQ558" s="74"/>
      <c r="AR558" s="74"/>
      <c r="AS558" s="74"/>
      <c r="AT558" s="74"/>
      <c r="AU558" s="74"/>
      <c r="AV558" s="74"/>
      <c r="AW558" s="74"/>
      <c r="AX558" s="74"/>
      <c r="AY558" s="74"/>
      <c r="AZ558" s="74"/>
    </row>
    <row r="559">
      <c r="A559" s="71"/>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c r="AJ559" s="74"/>
      <c r="AK559" s="74"/>
      <c r="AL559" s="74"/>
      <c r="AM559" s="74"/>
      <c r="AN559" s="74"/>
      <c r="AO559" s="74"/>
      <c r="AP559" s="74"/>
      <c r="AQ559" s="74"/>
      <c r="AR559" s="74"/>
      <c r="AS559" s="74"/>
      <c r="AT559" s="74"/>
      <c r="AU559" s="74"/>
      <c r="AV559" s="74"/>
      <c r="AW559" s="74"/>
      <c r="AX559" s="74"/>
      <c r="AY559" s="74"/>
      <c r="AZ559" s="74"/>
    </row>
    <row r="560">
      <c r="A560" s="71"/>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c r="AJ560" s="74"/>
      <c r="AK560" s="74"/>
      <c r="AL560" s="74"/>
      <c r="AM560" s="74"/>
      <c r="AN560" s="74"/>
      <c r="AO560" s="74"/>
      <c r="AP560" s="74"/>
      <c r="AQ560" s="74"/>
      <c r="AR560" s="74"/>
      <c r="AS560" s="74"/>
      <c r="AT560" s="74"/>
      <c r="AU560" s="74"/>
      <c r="AV560" s="74"/>
      <c r="AW560" s="74"/>
      <c r="AX560" s="74"/>
      <c r="AY560" s="74"/>
      <c r="AZ560" s="74"/>
    </row>
    <row r="561">
      <c r="A561" s="71"/>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c r="AJ561" s="74"/>
      <c r="AK561" s="74"/>
      <c r="AL561" s="74"/>
      <c r="AM561" s="74"/>
      <c r="AN561" s="74"/>
      <c r="AO561" s="74"/>
      <c r="AP561" s="74"/>
      <c r="AQ561" s="74"/>
      <c r="AR561" s="74"/>
      <c r="AS561" s="74"/>
      <c r="AT561" s="74"/>
      <c r="AU561" s="74"/>
      <c r="AV561" s="74"/>
      <c r="AW561" s="74"/>
      <c r="AX561" s="74"/>
      <c r="AY561" s="74"/>
      <c r="AZ561" s="74"/>
    </row>
    <row r="562">
      <c r="A562" s="71"/>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c r="AJ562" s="74"/>
      <c r="AK562" s="74"/>
      <c r="AL562" s="74"/>
      <c r="AM562" s="74"/>
      <c r="AN562" s="74"/>
      <c r="AO562" s="74"/>
      <c r="AP562" s="74"/>
      <c r="AQ562" s="74"/>
      <c r="AR562" s="74"/>
      <c r="AS562" s="74"/>
      <c r="AT562" s="74"/>
      <c r="AU562" s="74"/>
      <c r="AV562" s="74"/>
      <c r="AW562" s="74"/>
      <c r="AX562" s="74"/>
      <c r="AY562" s="74"/>
      <c r="AZ562" s="74"/>
    </row>
    <row r="563">
      <c r="A563" s="71"/>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c r="AJ563" s="74"/>
      <c r="AK563" s="74"/>
      <c r="AL563" s="74"/>
      <c r="AM563" s="74"/>
      <c r="AN563" s="74"/>
      <c r="AO563" s="74"/>
      <c r="AP563" s="74"/>
      <c r="AQ563" s="74"/>
      <c r="AR563" s="74"/>
      <c r="AS563" s="74"/>
      <c r="AT563" s="74"/>
      <c r="AU563" s="74"/>
      <c r="AV563" s="74"/>
      <c r="AW563" s="74"/>
      <c r="AX563" s="74"/>
      <c r="AY563" s="74"/>
      <c r="AZ563" s="74"/>
    </row>
    <row r="564">
      <c r="A564" s="71"/>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c r="AJ564" s="74"/>
      <c r="AK564" s="74"/>
      <c r="AL564" s="74"/>
      <c r="AM564" s="74"/>
      <c r="AN564" s="74"/>
      <c r="AO564" s="74"/>
      <c r="AP564" s="74"/>
      <c r="AQ564" s="74"/>
      <c r="AR564" s="74"/>
      <c r="AS564" s="74"/>
      <c r="AT564" s="74"/>
      <c r="AU564" s="74"/>
      <c r="AV564" s="74"/>
      <c r="AW564" s="74"/>
      <c r="AX564" s="74"/>
      <c r="AY564" s="74"/>
      <c r="AZ564" s="74"/>
    </row>
    <row r="565">
      <c r="A565" s="71"/>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c r="AJ565" s="74"/>
      <c r="AK565" s="74"/>
      <c r="AL565" s="74"/>
      <c r="AM565" s="74"/>
      <c r="AN565" s="74"/>
      <c r="AO565" s="74"/>
      <c r="AP565" s="74"/>
      <c r="AQ565" s="74"/>
      <c r="AR565" s="74"/>
      <c r="AS565" s="74"/>
      <c r="AT565" s="74"/>
      <c r="AU565" s="74"/>
      <c r="AV565" s="74"/>
      <c r="AW565" s="74"/>
      <c r="AX565" s="74"/>
      <c r="AY565" s="74"/>
      <c r="AZ565" s="74"/>
    </row>
    <row r="566">
      <c r="A566" s="71"/>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c r="AJ566" s="74"/>
      <c r="AK566" s="74"/>
      <c r="AL566" s="74"/>
      <c r="AM566" s="74"/>
      <c r="AN566" s="74"/>
      <c r="AO566" s="74"/>
      <c r="AP566" s="74"/>
      <c r="AQ566" s="74"/>
      <c r="AR566" s="74"/>
      <c r="AS566" s="74"/>
      <c r="AT566" s="74"/>
      <c r="AU566" s="74"/>
      <c r="AV566" s="74"/>
      <c r="AW566" s="74"/>
      <c r="AX566" s="74"/>
      <c r="AY566" s="74"/>
      <c r="AZ566" s="74"/>
    </row>
    <row r="567">
      <c r="A567" s="71"/>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c r="AJ567" s="74"/>
      <c r="AK567" s="74"/>
      <c r="AL567" s="74"/>
      <c r="AM567" s="74"/>
      <c r="AN567" s="74"/>
      <c r="AO567" s="74"/>
      <c r="AP567" s="74"/>
      <c r="AQ567" s="74"/>
      <c r="AR567" s="74"/>
      <c r="AS567" s="74"/>
      <c r="AT567" s="74"/>
      <c r="AU567" s="74"/>
      <c r="AV567" s="74"/>
      <c r="AW567" s="74"/>
      <c r="AX567" s="74"/>
      <c r="AY567" s="74"/>
      <c r="AZ567" s="74"/>
    </row>
    <row r="568">
      <c r="A568" s="71"/>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c r="AJ568" s="74"/>
      <c r="AK568" s="74"/>
      <c r="AL568" s="74"/>
      <c r="AM568" s="74"/>
      <c r="AN568" s="74"/>
      <c r="AO568" s="74"/>
      <c r="AP568" s="74"/>
      <c r="AQ568" s="74"/>
      <c r="AR568" s="74"/>
      <c r="AS568" s="74"/>
      <c r="AT568" s="74"/>
      <c r="AU568" s="74"/>
      <c r="AV568" s="74"/>
      <c r="AW568" s="74"/>
      <c r="AX568" s="74"/>
      <c r="AY568" s="74"/>
      <c r="AZ568" s="74"/>
    </row>
    <row r="569">
      <c r="A569" s="71"/>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c r="AJ569" s="74"/>
      <c r="AK569" s="74"/>
      <c r="AL569" s="74"/>
      <c r="AM569" s="74"/>
      <c r="AN569" s="74"/>
      <c r="AO569" s="74"/>
      <c r="AP569" s="74"/>
      <c r="AQ569" s="74"/>
      <c r="AR569" s="74"/>
      <c r="AS569" s="74"/>
      <c r="AT569" s="74"/>
      <c r="AU569" s="74"/>
      <c r="AV569" s="74"/>
      <c r="AW569" s="74"/>
      <c r="AX569" s="74"/>
      <c r="AY569" s="74"/>
      <c r="AZ569" s="74"/>
    </row>
    <row r="570">
      <c r="A570" s="71"/>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c r="AJ570" s="74"/>
      <c r="AK570" s="74"/>
      <c r="AL570" s="74"/>
      <c r="AM570" s="74"/>
      <c r="AN570" s="74"/>
      <c r="AO570" s="74"/>
      <c r="AP570" s="74"/>
      <c r="AQ570" s="74"/>
      <c r="AR570" s="74"/>
      <c r="AS570" s="74"/>
      <c r="AT570" s="74"/>
      <c r="AU570" s="74"/>
      <c r="AV570" s="74"/>
      <c r="AW570" s="74"/>
      <c r="AX570" s="74"/>
      <c r="AY570" s="74"/>
      <c r="AZ570" s="74"/>
    </row>
    <row r="571">
      <c r="A571" s="71"/>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c r="AJ571" s="74"/>
      <c r="AK571" s="74"/>
      <c r="AL571" s="74"/>
      <c r="AM571" s="74"/>
      <c r="AN571" s="74"/>
      <c r="AO571" s="74"/>
      <c r="AP571" s="74"/>
      <c r="AQ571" s="74"/>
      <c r="AR571" s="74"/>
      <c r="AS571" s="74"/>
      <c r="AT571" s="74"/>
      <c r="AU571" s="74"/>
      <c r="AV571" s="74"/>
      <c r="AW571" s="74"/>
      <c r="AX571" s="74"/>
      <c r="AY571" s="74"/>
      <c r="AZ571" s="74"/>
    </row>
    <row r="572">
      <c r="A572" s="71"/>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c r="AJ572" s="74"/>
      <c r="AK572" s="74"/>
      <c r="AL572" s="74"/>
      <c r="AM572" s="74"/>
      <c r="AN572" s="74"/>
      <c r="AO572" s="74"/>
      <c r="AP572" s="74"/>
      <c r="AQ572" s="74"/>
      <c r="AR572" s="74"/>
      <c r="AS572" s="74"/>
      <c r="AT572" s="74"/>
      <c r="AU572" s="74"/>
      <c r="AV572" s="74"/>
      <c r="AW572" s="74"/>
      <c r="AX572" s="74"/>
      <c r="AY572" s="74"/>
      <c r="AZ572" s="74"/>
    </row>
    <row r="573">
      <c r="A573" s="71"/>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c r="AJ573" s="74"/>
      <c r="AK573" s="74"/>
      <c r="AL573" s="74"/>
      <c r="AM573" s="74"/>
      <c r="AN573" s="74"/>
      <c r="AO573" s="74"/>
      <c r="AP573" s="74"/>
      <c r="AQ573" s="74"/>
      <c r="AR573" s="74"/>
      <c r="AS573" s="74"/>
      <c r="AT573" s="74"/>
      <c r="AU573" s="74"/>
      <c r="AV573" s="74"/>
      <c r="AW573" s="74"/>
      <c r="AX573" s="74"/>
      <c r="AY573" s="74"/>
      <c r="AZ573" s="74"/>
    </row>
    <row r="574">
      <c r="A574" s="71"/>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c r="AM574" s="74"/>
      <c r="AN574" s="74"/>
      <c r="AO574" s="74"/>
      <c r="AP574" s="74"/>
      <c r="AQ574" s="74"/>
      <c r="AR574" s="74"/>
      <c r="AS574" s="74"/>
      <c r="AT574" s="74"/>
      <c r="AU574" s="74"/>
      <c r="AV574" s="74"/>
      <c r="AW574" s="74"/>
      <c r="AX574" s="74"/>
      <c r="AY574" s="74"/>
      <c r="AZ574" s="74"/>
    </row>
    <row r="575">
      <c r="A575" s="71"/>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c r="AJ575" s="74"/>
      <c r="AK575" s="74"/>
      <c r="AL575" s="74"/>
      <c r="AM575" s="74"/>
      <c r="AN575" s="74"/>
      <c r="AO575" s="74"/>
      <c r="AP575" s="74"/>
      <c r="AQ575" s="74"/>
      <c r="AR575" s="74"/>
      <c r="AS575" s="74"/>
      <c r="AT575" s="74"/>
      <c r="AU575" s="74"/>
      <c r="AV575" s="74"/>
      <c r="AW575" s="74"/>
      <c r="AX575" s="74"/>
      <c r="AY575" s="74"/>
      <c r="AZ575" s="74"/>
    </row>
    <row r="576">
      <c r="A576" s="71"/>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c r="AJ576" s="74"/>
      <c r="AK576" s="74"/>
      <c r="AL576" s="74"/>
      <c r="AM576" s="74"/>
      <c r="AN576" s="74"/>
      <c r="AO576" s="74"/>
      <c r="AP576" s="74"/>
      <c r="AQ576" s="74"/>
      <c r="AR576" s="74"/>
      <c r="AS576" s="74"/>
      <c r="AT576" s="74"/>
      <c r="AU576" s="74"/>
      <c r="AV576" s="74"/>
      <c r="AW576" s="74"/>
      <c r="AX576" s="74"/>
      <c r="AY576" s="74"/>
      <c r="AZ576" s="74"/>
    </row>
    <row r="577">
      <c r="A577" s="71"/>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c r="AJ577" s="74"/>
      <c r="AK577" s="74"/>
      <c r="AL577" s="74"/>
      <c r="AM577" s="74"/>
      <c r="AN577" s="74"/>
      <c r="AO577" s="74"/>
      <c r="AP577" s="74"/>
      <c r="AQ577" s="74"/>
      <c r="AR577" s="74"/>
      <c r="AS577" s="74"/>
      <c r="AT577" s="74"/>
      <c r="AU577" s="74"/>
      <c r="AV577" s="74"/>
      <c r="AW577" s="74"/>
      <c r="AX577" s="74"/>
      <c r="AY577" s="74"/>
      <c r="AZ577" s="74"/>
    </row>
    <row r="578">
      <c r="A578" s="71"/>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c r="AJ578" s="74"/>
      <c r="AK578" s="74"/>
      <c r="AL578" s="74"/>
      <c r="AM578" s="74"/>
      <c r="AN578" s="74"/>
      <c r="AO578" s="74"/>
      <c r="AP578" s="74"/>
      <c r="AQ578" s="74"/>
      <c r="AR578" s="74"/>
      <c r="AS578" s="74"/>
      <c r="AT578" s="74"/>
      <c r="AU578" s="74"/>
      <c r="AV578" s="74"/>
      <c r="AW578" s="74"/>
      <c r="AX578" s="74"/>
      <c r="AY578" s="74"/>
      <c r="AZ578" s="74"/>
    </row>
    <row r="579">
      <c r="A579" s="71"/>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c r="AJ579" s="74"/>
      <c r="AK579" s="74"/>
      <c r="AL579" s="74"/>
      <c r="AM579" s="74"/>
      <c r="AN579" s="74"/>
      <c r="AO579" s="74"/>
      <c r="AP579" s="74"/>
      <c r="AQ579" s="74"/>
      <c r="AR579" s="74"/>
      <c r="AS579" s="74"/>
      <c r="AT579" s="74"/>
      <c r="AU579" s="74"/>
      <c r="AV579" s="74"/>
      <c r="AW579" s="74"/>
      <c r="AX579" s="74"/>
      <c r="AY579" s="74"/>
      <c r="AZ579" s="74"/>
    </row>
    <row r="580">
      <c r="A580" s="71"/>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c r="AO580" s="74"/>
      <c r="AP580" s="74"/>
      <c r="AQ580" s="74"/>
      <c r="AR580" s="74"/>
      <c r="AS580" s="74"/>
      <c r="AT580" s="74"/>
      <c r="AU580" s="74"/>
      <c r="AV580" s="74"/>
      <c r="AW580" s="74"/>
      <c r="AX580" s="74"/>
      <c r="AY580" s="74"/>
      <c r="AZ580" s="74"/>
    </row>
    <row r="581">
      <c r="A581" s="71"/>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c r="AJ581" s="74"/>
      <c r="AK581" s="74"/>
      <c r="AL581" s="74"/>
      <c r="AM581" s="74"/>
      <c r="AN581" s="74"/>
      <c r="AO581" s="74"/>
      <c r="AP581" s="74"/>
      <c r="AQ581" s="74"/>
      <c r="AR581" s="74"/>
      <c r="AS581" s="74"/>
      <c r="AT581" s="74"/>
      <c r="AU581" s="74"/>
      <c r="AV581" s="74"/>
      <c r="AW581" s="74"/>
      <c r="AX581" s="74"/>
      <c r="AY581" s="74"/>
      <c r="AZ581" s="74"/>
    </row>
    <row r="582">
      <c r="A582" s="71"/>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c r="AJ582" s="74"/>
      <c r="AK582" s="74"/>
      <c r="AL582" s="74"/>
      <c r="AM582" s="74"/>
      <c r="AN582" s="74"/>
      <c r="AO582" s="74"/>
      <c r="AP582" s="74"/>
      <c r="AQ582" s="74"/>
      <c r="AR582" s="74"/>
      <c r="AS582" s="74"/>
      <c r="AT582" s="74"/>
      <c r="AU582" s="74"/>
      <c r="AV582" s="74"/>
      <c r="AW582" s="74"/>
      <c r="AX582" s="74"/>
      <c r="AY582" s="74"/>
      <c r="AZ582" s="74"/>
    </row>
    <row r="583">
      <c r="A583" s="71"/>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c r="AJ583" s="74"/>
      <c r="AK583" s="74"/>
      <c r="AL583" s="74"/>
      <c r="AM583" s="74"/>
      <c r="AN583" s="74"/>
      <c r="AO583" s="74"/>
      <c r="AP583" s="74"/>
      <c r="AQ583" s="74"/>
      <c r="AR583" s="74"/>
      <c r="AS583" s="74"/>
      <c r="AT583" s="74"/>
      <c r="AU583" s="74"/>
      <c r="AV583" s="74"/>
      <c r="AW583" s="74"/>
      <c r="AX583" s="74"/>
      <c r="AY583" s="74"/>
      <c r="AZ583" s="74"/>
    </row>
    <row r="584">
      <c r="A584" s="71"/>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c r="AJ584" s="74"/>
      <c r="AK584" s="74"/>
      <c r="AL584" s="74"/>
      <c r="AM584" s="74"/>
      <c r="AN584" s="74"/>
      <c r="AO584" s="74"/>
      <c r="AP584" s="74"/>
      <c r="AQ584" s="74"/>
      <c r="AR584" s="74"/>
      <c r="AS584" s="74"/>
      <c r="AT584" s="74"/>
      <c r="AU584" s="74"/>
      <c r="AV584" s="74"/>
      <c r="AW584" s="74"/>
      <c r="AX584" s="74"/>
      <c r="AY584" s="74"/>
      <c r="AZ584" s="74"/>
    </row>
    <row r="585">
      <c r="A585" s="71"/>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c r="AJ585" s="74"/>
      <c r="AK585" s="74"/>
      <c r="AL585" s="74"/>
      <c r="AM585" s="74"/>
      <c r="AN585" s="74"/>
      <c r="AO585" s="74"/>
      <c r="AP585" s="74"/>
      <c r="AQ585" s="74"/>
      <c r="AR585" s="74"/>
      <c r="AS585" s="74"/>
      <c r="AT585" s="74"/>
      <c r="AU585" s="74"/>
      <c r="AV585" s="74"/>
      <c r="AW585" s="74"/>
      <c r="AX585" s="74"/>
      <c r="AY585" s="74"/>
      <c r="AZ585" s="74"/>
    </row>
    <row r="586">
      <c r="A586" s="71"/>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c r="AJ586" s="74"/>
      <c r="AK586" s="74"/>
      <c r="AL586" s="74"/>
      <c r="AM586" s="74"/>
      <c r="AN586" s="74"/>
      <c r="AO586" s="74"/>
      <c r="AP586" s="74"/>
      <c r="AQ586" s="74"/>
      <c r="AR586" s="74"/>
      <c r="AS586" s="74"/>
      <c r="AT586" s="74"/>
      <c r="AU586" s="74"/>
      <c r="AV586" s="74"/>
      <c r="AW586" s="74"/>
      <c r="AX586" s="74"/>
      <c r="AY586" s="74"/>
      <c r="AZ586" s="74"/>
    </row>
    <row r="587">
      <c r="A587" s="71"/>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c r="AJ587" s="74"/>
      <c r="AK587" s="74"/>
      <c r="AL587" s="74"/>
      <c r="AM587" s="74"/>
      <c r="AN587" s="74"/>
      <c r="AO587" s="74"/>
      <c r="AP587" s="74"/>
      <c r="AQ587" s="74"/>
      <c r="AR587" s="74"/>
      <c r="AS587" s="74"/>
      <c r="AT587" s="74"/>
      <c r="AU587" s="74"/>
      <c r="AV587" s="74"/>
      <c r="AW587" s="74"/>
      <c r="AX587" s="74"/>
      <c r="AY587" s="74"/>
      <c r="AZ587" s="74"/>
    </row>
    <row r="588">
      <c r="A588" s="71"/>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c r="AJ588" s="74"/>
      <c r="AK588" s="74"/>
      <c r="AL588" s="74"/>
      <c r="AM588" s="74"/>
      <c r="AN588" s="74"/>
      <c r="AO588" s="74"/>
      <c r="AP588" s="74"/>
      <c r="AQ588" s="74"/>
      <c r="AR588" s="74"/>
      <c r="AS588" s="74"/>
      <c r="AT588" s="74"/>
      <c r="AU588" s="74"/>
      <c r="AV588" s="74"/>
      <c r="AW588" s="74"/>
      <c r="AX588" s="74"/>
      <c r="AY588" s="74"/>
      <c r="AZ588" s="74"/>
    </row>
    <row r="589">
      <c r="A589" s="71"/>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c r="AJ589" s="74"/>
      <c r="AK589" s="74"/>
      <c r="AL589" s="74"/>
      <c r="AM589" s="74"/>
      <c r="AN589" s="74"/>
      <c r="AO589" s="74"/>
      <c r="AP589" s="74"/>
      <c r="AQ589" s="74"/>
      <c r="AR589" s="74"/>
      <c r="AS589" s="74"/>
      <c r="AT589" s="74"/>
      <c r="AU589" s="74"/>
      <c r="AV589" s="74"/>
      <c r="AW589" s="74"/>
      <c r="AX589" s="74"/>
      <c r="AY589" s="74"/>
      <c r="AZ589" s="74"/>
    </row>
    <row r="590">
      <c r="A590" s="71"/>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c r="AJ590" s="74"/>
      <c r="AK590" s="74"/>
      <c r="AL590" s="74"/>
      <c r="AM590" s="74"/>
      <c r="AN590" s="74"/>
      <c r="AO590" s="74"/>
      <c r="AP590" s="74"/>
      <c r="AQ590" s="74"/>
      <c r="AR590" s="74"/>
      <c r="AS590" s="74"/>
      <c r="AT590" s="74"/>
      <c r="AU590" s="74"/>
      <c r="AV590" s="74"/>
      <c r="AW590" s="74"/>
      <c r="AX590" s="74"/>
      <c r="AY590" s="74"/>
      <c r="AZ590" s="74"/>
    </row>
    <row r="591">
      <c r="A591" s="71"/>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c r="AJ591" s="74"/>
      <c r="AK591" s="74"/>
      <c r="AL591" s="74"/>
      <c r="AM591" s="74"/>
      <c r="AN591" s="74"/>
      <c r="AO591" s="74"/>
      <c r="AP591" s="74"/>
      <c r="AQ591" s="74"/>
      <c r="AR591" s="74"/>
      <c r="AS591" s="74"/>
      <c r="AT591" s="74"/>
      <c r="AU591" s="74"/>
      <c r="AV591" s="74"/>
      <c r="AW591" s="74"/>
      <c r="AX591" s="74"/>
      <c r="AY591" s="74"/>
      <c r="AZ591" s="74"/>
    </row>
    <row r="592">
      <c r="A592" s="71"/>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c r="AJ592" s="74"/>
      <c r="AK592" s="74"/>
      <c r="AL592" s="74"/>
      <c r="AM592" s="74"/>
      <c r="AN592" s="74"/>
      <c r="AO592" s="74"/>
      <c r="AP592" s="74"/>
      <c r="AQ592" s="74"/>
      <c r="AR592" s="74"/>
      <c r="AS592" s="74"/>
      <c r="AT592" s="74"/>
      <c r="AU592" s="74"/>
      <c r="AV592" s="74"/>
      <c r="AW592" s="74"/>
      <c r="AX592" s="74"/>
      <c r="AY592" s="74"/>
      <c r="AZ592" s="74"/>
    </row>
    <row r="593">
      <c r="A593" s="71"/>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c r="AJ593" s="74"/>
      <c r="AK593" s="74"/>
      <c r="AL593" s="74"/>
      <c r="AM593" s="74"/>
      <c r="AN593" s="74"/>
      <c r="AO593" s="74"/>
      <c r="AP593" s="74"/>
      <c r="AQ593" s="74"/>
      <c r="AR593" s="74"/>
      <c r="AS593" s="74"/>
      <c r="AT593" s="74"/>
      <c r="AU593" s="74"/>
      <c r="AV593" s="74"/>
      <c r="AW593" s="74"/>
      <c r="AX593" s="74"/>
      <c r="AY593" s="74"/>
      <c r="AZ593" s="74"/>
    </row>
    <row r="594">
      <c r="A594" s="71"/>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c r="AJ594" s="74"/>
      <c r="AK594" s="74"/>
      <c r="AL594" s="74"/>
      <c r="AM594" s="74"/>
      <c r="AN594" s="74"/>
      <c r="AO594" s="74"/>
      <c r="AP594" s="74"/>
      <c r="AQ594" s="74"/>
      <c r="AR594" s="74"/>
      <c r="AS594" s="74"/>
      <c r="AT594" s="74"/>
      <c r="AU594" s="74"/>
      <c r="AV594" s="74"/>
      <c r="AW594" s="74"/>
      <c r="AX594" s="74"/>
      <c r="AY594" s="74"/>
      <c r="AZ594" s="74"/>
    </row>
    <row r="595">
      <c r="A595" s="71"/>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c r="AJ595" s="74"/>
      <c r="AK595" s="74"/>
      <c r="AL595" s="74"/>
      <c r="AM595" s="74"/>
      <c r="AN595" s="74"/>
      <c r="AO595" s="74"/>
      <c r="AP595" s="74"/>
      <c r="AQ595" s="74"/>
      <c r="AR595" s="74"/>
      <c r="AS595" s="74"/>
      <c r="AT595" s="74"/>
      <c r="AU595" s="74"/>
      <c r="AV595" s="74"/>
      <c r="AW595" s="74"/>
      <c r="AX595" s="74"/>
      <c r="AY595" s="74"/>
      <c r="AZ595" s="74"/>
    </row>
    <row r="596">
      <c r="A596" s="71"/>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c r="AJ596" s="74"/>
      <c r="AK596" s="74"/>
      <c r="AL596" s="74"/>
      <c r="AM596" s="74"/>
      <c r="AN596" s="74"/>
      <c r="AO596" s="74"/>
      <c r="AP596" s="74"/>
      <c r="AQ596" s="74"/>
      <c r="AR596" s="74"/>
      <c r="AS596" s="74"/>
      <c r="AT596" s="74"/>
      <c r="AU596" s="74"/>
      <c r="AV596" s="74"/>
      <c r="AW596" s="74"/>
      <c r="AX596" s="74"/>
      <c r="AY596" s="74"/>
      <c r="AZ596" s="74"/>
    </row>
    <row r="597">
      <c r="A597" s="71"/>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c r="AJ597" s="74"/>
      <c r="AK597" s="74"/>
      <c r="AL597" s="74"/>
      <c r="AM597" s="74"/>
      <c r="AN597" s="74"/>
      <c r="AO597" s="74"/>
      <c r="AP597" s="74"/>
      <c r="AQ597" s="74"/>
      <c r="AR597" s="74"/>
      <c r="AS597" s="74"/>
      <c r="AT597" s="74"/>
      <c r="AU597" s="74"/>
      <c r="AV597" s="74"/>
      <c r="AW597" s="74"/>
      <c r="AX597" s="74"/>
      <c r="AY597" s="74"/>
      <c r="AZ597" s="74"/>
    </row>
    <row r="598">
      <c r="A598" s="71"/>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c r="AJ598" s="74"/>
      <c r="AK598" s="74"/>
      <c r="AL598" s="74"/>
      <c r="AM598" s="74"/>
      <c r="AN598" s="74"/>
      <c r="AO598" s="74"/>
      <c r="AP598" s="74"/>
      <c r="AQ598" s="74"/>
      <c r="AR598" s="74"/>
      <c r="AS598" s="74"/>
      <c r="AT598" s="74"/>
      <c r="AU598" s="74"/>
      <c r="AV598" s="74"/>
      <c r="AW598" s="74"/>
      <c r="AX598" s="74"/>
      <c r="AY598" s="74"/>
      <c r="AZ598" s="74"/>
    </row>
    <row r="599">
      <c r="A599" s="71"/>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c r="AJ599" s="74"/>
      <c r="AK599" s="74"/>
      <c r="AL599" s="74"/>
      <c r="AM599" s="74"/>
      <c r="AN599" s="74"/>
      <c r="AO599" s="74"/>
      <c r="AP599" s="74"/>
      <c r="AQ599" s="74"/>
      <c r="AR599" s="74"/>
      <c r="AS599" s="74"/>
      <c r="AT599" s="74"/>
      <c r="AU599" s="74"/>
      <c r="AV599" s="74"/>
      <c r="AW599" s="74"/>
      <c r="AX599" s="74"/>
      <c r="AY599" s="74"/>
      <c r="AZ599" s="74"/>
    </row>
    <row r="600">
      <c r="A600" s="71"/>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c r="AJ600" s="74"/>
      <c r="AK600" s="74"/>
      <c r="AL600" s="74"/>
      <c r="AM600" s="74"/>
      <c r="AN600" s="74"/>
      <c r="AO600" s="74"/>
      <c r="AP600" s="74"/>
      <c r="AQ600" s="74"/>
      <c r="AR600" s="74"/>
      <c r="AS600" s="74"/>
      <c r="AT600" s="74"/>
      <c r="AU600" s="74"/>
      <c r="AV600" s="74"/>
      <c r="AW600" s="74"/>
      <c r="AX600" s="74"/>
      <c r="AY600" s="74"/>
      <c r="AZ600" s="74"/>
    </row>
    <row r="601">
      <c r="A601" s="71"/>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c r="AJ601" s="74"/>
      <c r="AK601" s="74"/>
      <c r="AL601" s="74"/>
      <c r="AM601" s="74"/>
      <c r="AN601" s="74"/>
      <c r="AO601" s="74"/>
      <c r="AP601" s="74"/>
      <c r="AQ601" s="74"/>
      <c r="AR601" s="74"/>
      <c r="AS601" s="74"/>
      <c r="AT601" s="74"/>
      <c r="AU601" s="74"/>
      <c r="AV601" s="74"/>
      <c r="AW601" s="74"/>
      <c r="AX601" s="74"/>
      <c r="AY601" s="74"/>
      <c r="AZ601" s="74"/>
    </row>
    <row r="602">
      <c r="A602" s="71"/>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c r="AM602" s="74"/>
      <c r="AN602" s="74"/>
      <c r="AO602" s="74"/>
      <c r="AP602" s="74"/>
      <c r="AQ602" s="74"/>
      <c r="AR602" s="74"/>
      <c r="AS602" s="74"/>
      <c r="AT602" s="74"/>
      <c r="AU602" s="74"/>
      <c r="AV602" s="74"/>
      <c r="AW602" s="74"/>
      <c r="AX602" s="74"/>
      <c r="AY602" s="74"/>
      <c r="AZ602" s="74"/>
    </row>
    <row r="603">
      <c r="A603" s="71"/>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c r="AJ603" s="74"/>
      <c r="AK603" s="74"/>
      <c r="AL603" s="74"/>
      <c r="AM603" s="74"/>
      <c r="AN603" s="74"/>
      <c r="AO603" s="74"/>
      <c r="AP603" s="74"/>
      <c r="AQ603" s="74"/>
      <c r="AR603" s="74"/>
      <c r="AS603" s="74"/>
      <c r="AT603" s="74"/>
      <c r="AU603" s="74"/>
      <c r="AV603" s="74"/>
      <c r="AW603" s="74"/>
      <c r="AX603" s="74"/>
      <c r="AY603" s="74"/>
      <c r="AZ603" s="74"/>
    </row>
    <row r="604">
      <c r="A604" s="71"/>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c r="AJ604" s="74"/>
      <c r="AK604" s="74"/>
      <c r="AL604" s="74"/>
      <c r="AM604" s="74"/>
      <c r="AN604" s="74"/>
      <c r="AO604" s="74"/>
      <c r="AP604" s="74"/>
      <c r="AQ604" s="74"/>
      <c r="AR604" s="74"/>
      <c r="AS604" s="74"/>
      <c r="AT604" s="74"/>
      <c r="AU604" s="74"/>
      <c r="AV604" s="74"/>
      <c r="AW604" s="74"/>
      <c r="AX604" s="74"/>
      <c r="AY604" s="74"/>
      <c r="AZ604" s="74"/>
    </row>
    <row r="605">
      <c r="A605" s="71"/>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c r="AJ605" s="74"/>
      <c r="AK605" s="74"/>
      <c r="AL605" s="74"/>
      <c r="AM605" s="74"/>
      <c r="AN605" s="74"/>
      <c r="AO605" s="74"/>
      <c r="AP605" s="74"/>
      <c r="AQ605" s="74"/>
      <c r="AR605" s="74"/>
      <c r="AS605" s="74"/>
      <c r="AT605" s="74"/>
      <c r="AU605" s="74"/>
      <c r="AV605" s="74"/>
      <c r="AW605" s="74"/>
      <c r="AX605" s="74"/>
      <c r="AY605" s="74"/>
      <c r="AZ605" s="74"/>
    </row>
    <row r="606">
      <c r="A606" s="71"/>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c r="AJ606" s="74"/>
      <c r="AK606" s="74"/>
      <c r="AL606" s="74"/>
      <c r="AM606" s="74"/>
      <c r="AN606" s="74"/>
      <c r="AO606" s="74"/>
      <c r="AP606" s="74"/>
      <c r="AQ606" s="74"/>
      <c r="AR606" s="74"/>
      <c r="AS606" s="74"/>
      <c r="AT606" s="74"/>
      <c r="AU606" s="74"/>
      <c r="AV606" s="74"/>
      <c r="AW606" s="74"/>
      <c r="AX606" s="74"/>
      <c r="AY606" s="74"/>
      <c r="AZ606" s="74"/>
    </row>
    <row r="607">
      <c r="A607" s="71"/>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c r="AJ607" s="74"/>
      <c r="AK607" s="74"/>
      <c r="AL607" s="74"/>
      <c r="AM607" s="74"/>
      <c r="AN607" s="74"/>
      <c r="AO607" s="74"/>
      <c r="AP607" s="74"/>
      <c r="AQ607" s="74"/>
      <c r="AR607" s="74"/>
      <c r="AS607" s="74"/>
      <c r="AT607" s="74"/>
      <c r="AU607" s="74"/>
      <c r="AV607" s="74"/>
      <c r="AW607" s="74"/>
      <c r="AX607" s="74"/>
      <c r="AY607" s="74"/>
      <c r="AZ607" s="74"/>
    </row>
    <row r="608">
      <c r="A608" s="71"/>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c r="AJ608" s="74"/>
      <c r="AK608" s="74"/>
      <c r="AL608" s="74"/>
      <c r="AM608" s="74"/>
      <c r="AN608" s="74"/>
      <c r="AO608" s="74"/>
      <c r="AP608" s="74"/>
      <c r="AQ608" s="74"/>
      <c r="AR608" s="74"/>
      <c r="AS608" s="74"/>
      <c r="AT608" s="74"/>
      <c r="AU608" s="74"/>
      <c r="AV608" s="74"/>
      <c r="AW608" s="74"/>
      <c r="AX608" s="74"/>
      <c r="AY608" s="74"/>
      <c r="AZ608" s="74"/>
    </row>
    <row r="609">
      <c r="A609" s="71"/>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c r="AJ609" s="74"/>
      <c r="AK609" s="74"/>
      <c r="AL609" s="74"/>
      <c r="AM609" s="74"/>
      <c r="AN609" s="74"/>
      <c r="AO609" s="74"/>
      <c r="AP609" s="74"/>
      <c r="AQ609" s="74"/>
      <c r="AR609" s="74"/>
      <c r="AS609" s="74"/>
      <c r="AT609" s="74"/>
      <c r="AU609" s="74"/>
      <c r="AV609" s="74"/>
      <c r="AW609" s="74"/>
      <c r="AX609" s="74"/>
      <c r="AY609" s="74"/>
      <c r="AZ609" s="74"/>
    </row>
    <row r="610">
      <c r="A610" s="71"/>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c r="AJ610" s="74"/>
      <c r="AK610" s="74"/>
      <c r="AL610" s="74"/>
      <c r="AM610" s="74"/>
      <c r="AN610" s="74"/>
      <c r="AO610" s="74"/>
      <c r="AP610" s="74"/>
      <c r="AQ610" s="74"/>
      <c r="AR610" s="74"/>
      <c r="AS610" s="74"/>
      <c r="AT610" s="74"/>
      <c r="AU610" s="74"/>
      <c r="AV610" s="74"/>
      <c r="AW610" s="74"/>
      <c r="AX610" s="74"/>
      <c r="AY610" s="74"/>
      <c r="AZ610" s="74"/>
    </row>
    <row r="611">
      <c r="A611" s="71"/>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c r="AJ611" s="74"/>
      <c r="AK611" s="74"/>
      <c r="AL611" s="74"/>
      <c r="AM611" s="74"/>
      <c r="AN611" s="74"/>
      <c r="AO611" s="74"/>
      <c r="AP611" s="74"/>
      <c r="AQ611" s="74"/>
      <c r="AR611" s="74"/>
      <c r="AS611" s="74"/>
      <c r="AT611" s="74"/>
      <c r="AU611" s="74"/>
      <c r="AV611" s="74"/>
      <c r="AW611" s="74"/>
      <c r="AX611" s="74"/>
      <c r="AY611" s="74"/>
      <c r="AZ611" s="74"/>
    </row>
    <row r="612">
      <c r="A612" s="71"/>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c r="AJ612" s="74"/>
      <c r="AK612" s="74"/>
      <c r="AL612" s="74"/>
      <c r="AM612" s="74"/>
      <c r="AN612" s="74"/>
      <c r="AO612" s="74"/>
      <c r="AP612" s="74"/>
      <c r="AQ612" s="74"/>
      <c r="AR612" s="74"/>
      <c r="AS612" s="74"/>
      <c r="AT612" s="74"/>
      <c r="AU612" s="74"/>
      <c r="AV612" s="74"/>
      <c r="AW612" s="74"/>
      <c r="AX612" s="74"/>
      <c r="AY612" s="74"/>
      <c r="AZ612" s="74"/>
    </row>
    <row r="613">
      <c r="A613" s="71"/>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c r="AJ613" s="74"/>
      <c r="AK613" s="74"/>
      <c r="AL613" s="74"/>
      <c r="AM613" s="74"/>
      <c r="AN613" s="74"/>
      <c r="AO613" s="74"/>
      <c r="AP613" s="74"/>
      <c r="AQ613" s="74"/>
      <c r="AR613" s="74"/>
      <c r="AS613" s="74"/>
      <c r="AT613" s="74"/>
      <c r="AU613" s="74"/>
      <c r="AV613" s="74"/>
      <c r="AW613" s="74"/>
      <c r="AX613" s="74"/>
      <c r="AY613" s="74"/>
      <c r="AZ613" s="74"/>
    </row>
    <row r="614">
      <c r="A614" s="71"/>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c r="AJ614" s="74"/>
      <c r="AK614" s="74"/>
      <c r="AL614" s="74"/>
      <c r="AM614" s="74"/>
      <c r="AN614" s="74"/>
      <c r="AO614" s="74"/>
      <c r="AP614" s="74"/>
      <c r="AQ614" s="74"/>
      <c r="AR614" s="74"/>
      <c r="AS614" s="74"/>
      <c r="AT614" s="74"/>
      <c r="AU614" s="74"/>
      <c r="AV614" s="74"/>
      <c r="AW614" s="74"/>
      <c r="AX614" s="74"/>
      <c r="AY614" s="74"/>
      <c r="AZ614" s="74"/>
    </row>
    <row r="615">
      <c r="A615" s="71"/>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c r="AJ615" s="74"/>
      <c r="AK615" s="74"/>
      <c r="AL615" s="74"/>
      <c r="AM615" s="74"/>
      <c r="AN615" s="74"/>
      <c r="AO615" s="74"/>
      <c r="AP615" s="74"/>
      <c r="AQ615" s="74"/>
      <c r="AR615" s="74"/>
      <c r="AS615" s="74"/>
      <c r="AT615" s="74"/>
      <c r="AU615" s="74"/>
      <c r="AV615" s="74"/>
      <c r="AW615" s="74"/>
      <c r="AX615" s="74"/>
      <c r="AY615" s="74"/>
      <c r="AZ615" s="74"/>
    </row>
    <row r="616">
      <c r="A616" s="71"/>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c r="AJ616" s="74"/>
      <c r="AK616" s="74"/>
      <c r="AL616" s="74"/>
      <c r="AM616" s="74"/>
      <c r="AN616" s="74"/>
      <c r="AO616" s="74"/>
      <c r="AP616" s="74"/>
      <c r="AQ616" s="74"/>
      <c r="AR616" s="74"/>
      <c r="AS616" s="74"/>
      <c r="AT616" s="74"/>
      <c r="AU616" s="74"/>
      <c r="AV616" s="74"/>
      <c r="AW616" s="74"/>
      <c r="AX616" s="74"/>
      <c r="AY616" s="74"/>
      <c r="AZ616" s="74"/>
    </row>
    <row r="617">
      <c r="A617" s="71"/>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c r="AJ617" s="74"/>
      <c r="AK617" s="74"/>
      <c r="AL617" s="74"/>
      <c r="AM617" s="74"/>
      <c r="AN617" s="74"/>
      <c r="AO617" s="74"/>
      <c r="AP617" s="74"/>
      <c r="AQ617" s="74"/>
      <c r="AR617" s="74"/>
      <c r="AS617" s="74"/>
      <c r="AT617" s="74"/>
      <c r="AU617" s="74"/>
      <c r="AV617" s="74"/>
      <c r="AW617" s="74"/>
      <c r="AX617" s="74"/>
      <c r="AY617" s="74"/>
      <c r="AZ617" s="74"/>
    </row>
    <row r="618">
      <c r="A618" s="71"/>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c r="AJ618" s="74"/>
      <c r="AK618" s="74"/>
      <c r="AL618" s="74"/>
      <c r="AM618" s="74"/>
      <c r="AN618" s="74"/>
      <c r="AO618" s="74"/>
      <c r="AP618" s="74"/>
      <c r="AQ618" s="74"/>
      <c r="AR618" s="74"/>
      <c r="AS618" s="74"/>
      <c r="AT618" s="74"/>
      <c r="AU618" s="74"/>
      <c r="AV618" s="74"/>
      <c r="AW618" s="74"/>
      <c r="AX618" s="74"/>
      <c r="AY618" s="74"/>
      <c r="AZ618" s="74"/>
    </row>
    <row r="619">
      <c r="A619" s="71"/>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c r="AJ619" s="74"/>
      <c r="AK619" s="74"/>
      <c r="AL619" s="74"/>
      <c r="AM619" s="74"/>
      <c r="AN619" s="74"/>
      <c r="AO619" s="74"/>
      <c r="AP619" s="74"/>
      <c r="AQ619" s="74"/>
      <c r="AR619" s="74"/>
      <c r="AS619" s="74"/>
      <c r="AT619" s="74"/>
      <c r="AU619" s="74"/>
      <c r="AV619" s="74"/>
      <c r="AW619" s="74"/>
      <c r="AX619" s="74"/>
      <c r="AY619" s="74"/>
      <c r="AZ619" s="74"/>
    </row>
    <row r="620">
      <c r="A620" s="71"/>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c r="AJ620" s="74"/>
      <c r="AK620" s="74"/>
      <c r="AL620" s="74"/>
      <c r="AM620" s="74"/>
      <c r="AN620" s="74"/>
      <c r="AO620" s="74"/>
      <c r="AP620" s="74"/>
      <c r="AQ620" s="74"/>
      <c r="AR620" s="74"/>
      <c r="AS620" s="74"/>
      <c r="AT620" s="74"/>
      <c r="AU620" s="74"/>
      <c r="AV620" s="74"/>
      <c r="AW620" s="74"/>
      <c r="AX620" s="74"/>
      <c r="AY620" s="74"/>
      <c r="AZ620" s="74"/>
    </row>
    <row r="621">
      <c r="A621" s="71"/>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c r="AJ621" s="74"/>
      <c r="AK621" s="74"/>
      <c r="AL621" s="74"/>
      <c r="AM621" s="74"/>
      <c r="AN621" s="74"/>
      <c r="AO621" s="74"/>
      <c r="AP621" s="74"/>
      <c r="AQ621" s="74"/>
      <c r="AR621" s="74"/>
      <c r="AS621" s="74"/>
      <c r="AT621" s="74"/>
      <c r="AU621" s="74"/>
      <c r="AV621" s="74"/>
      <c r="AW621" s="74"/>
      <c r="AX621" s="74"/>
      <c r="AY621" s="74"/>
      <c r="AZ621" s="74"/>
    </row>
    <row r="622">
      <c r="A622" s="71"/>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c r="AJ622" s="74"/>
      <c r="AK622" s="74"/>
      <c r="AL622" s="74"/>
      <c r="AM622" s="74"/>
      <c r="AN622" s="74"/>
      <c r="AO622" s="74"/>
      <c r="AP622" s="74"/>
      <c r="AQ622" s="74"/>
      <c r="AR622" s="74"/>
      <c r="AS622" s="74"/>
      <c r="AT622" s="74"/>
      <c r="AU622" s="74"/>
      <c r="AV622" s="74"/>
      <c r="AW622" s="74"/>
      <c r="AX622" s="74"/>
      <c r="AY622" s="74"/>
      <c r="AZ622" s="74"/>
    </row>
    <row r="623">
      <c r="A623" s="71"/>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c r="AJ623" s="74"/>
      <c r="AK623" s="74"/>
      <c r="AL623" s="74"/>
      <c r="AM623" s="74"/>
      <c r="AN623" s="74"/>
      <c r="AO623" s="74"/>
      <c r="AP623" s="74"/>
      <c r="AQ623" s="74"/>
      <c r="AR623" s="74"/>
      <c r="AS623" s="74"/>
      <c r="AT623" s="74"/>
      <c r="AU623" s="74"/>
      <c r="AV623" s="74"/>
      <c r="AW623" s="74"/>
      <c r="AX623" s="74"/>
      <c r="AY623" s="74"/>
      <c r="AZ623" s="74"/>
    </row>
    <row r="624">
      <c r="A624" s="71"/>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c r="AJ624" s="74"/>
      <c r="AK624" s="74"/>
      <c r="AL624" s="74"/>
      <c r="AM624" s="74"/>
      <c r="AN624" s="74"/>
      <c r="AO624" s="74"/>
      <c r="AP624" s="74"/>
      <c r="AQ624" s="74"/>
      <c r="AR624" s="74"/>
      <c r="AS624" s="74"/>
      <c r="AT624" s="74"/>
      <c r="AU624" s="74"/>
      <c r="AV624" s="74"/>
      <c r="AW624" s="74"/>
      <c r="AX624" s="74"/>
      <c r="AY624" s="74"/>
      <c r="AZ624" s="74"/>
    </row>
    <row r="625">
      <c r="A625" s="71"/>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c r="AJ625" s="74"/>
      <c r="AK625" s="74"/>
      <c r="AL625" s="74"/>
      <c r="AM625" s="74"/>
      <c r="AN625" s="74"/>
      <c r="AO625" s="74"/>
      <c r="AP625" s="74"/>
      <c r="AQ625" s="74"/>
      <c r="AR625" s="74"/>
      <c r="AS625" s="74"/>
      <c r="AT625" s="74"/>
      <c r="AU625" s="74"/>
      <c r="AV625" s="74"/>
      <c r="AW625" s="74"/>
      <c r="AX625" s="74"/>
      <c r="AY625" s="74"/>
      <c r="AZ625" s="74"/>
    </row>
    <row r="626">
      <c r="A626" s="71"/>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c r="AJ626" s="74"/>
      <c r="AK626" s="74"/>
      <c r="AL626" s="74"/>
      <c r="AM626" s="74"/>
      <c r="AN626" s="74"/>
      <c r="AO626" s="74"/>
      <c r="AP626" s="74"/>
      <c r="AQ626" s="74"/>
      <c r="AR626" s="74"/>
      <c r="AS626" s="74"/>
      <c r="AT626" s="74"/>
      <c r="AU626" s="74"/>
      <c r="AV626" s="74"/>
      <c r="AW626" s="74"/>
      <c r="AX626" s="74"/>
      <c r="AY626" s="74"/>
      <c r="AZ626" s="74"/>
    </row>
    <row r="627">
      <c r="A627" s="71"/>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c r="AJ627" s="74"/>
      <c r="AK627" s="74"/>
      <c r="AL627" s="74"/>
      <c r="AM627" s="74"/>
      <c r="AN627" s="74"/>
      <c r="AO627" s="74"/>
      <c r="AP627" s="74"/>
      <c r="AQ627" s="74"/>
      <c r="AR627" s="74"/>
      <c r="AS627" s="74"/>
      <c r="AT627" s="74"/>
      <c r="AU627" s="74"/>
      <c r="AV627" s="74"/>
      <c r="AW627" s="74"/>
      <c r="AX627" s="74"/>
      <c r="AY627" s="74"/>
      <c r="AZ627" s="74"/>
    </row>
    <row r="628">
      <c r="A628" s="71"/>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c r="AJ628" s="74"/>
      <c r="AK628" s="74"/>
      <c r="AL628" s="74"/>
      <c r="AM628" s="74"/>
      <c r="AN628" s="74"/>
      <c r="AO628" s="74"/>
      <c r="AP628" s="74"/>
      <c r="AQ628" s="74"/>
      <c r="AR628" s="74"/>
      <c r="AS628" s="74"/>
      <c r="AT628" s="74"/>
      <c r="AU628" s="74"/>
      <c r="AV628" s="74"/>
      <c r="AW628" s="74"/>
      <c r="AX628" s="74"/>
      <c r="AY628" s="74"/>
      <c r="AZ628" s="74"/>
    </row>
    <row r="629">
      <c r="A629" s="71"/>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c r="AJ629" s="74"/>
      <c r="AK629" s="74"/>
      <c r="AL629" s="74"/>
      <c r="AM629" s="74"/>
      <c r="AN629" s="74"/>
      <c r="AO629" s="74"/>
      <c r="AP629" s="74"/>
      <c r="AQ629" s="74"/>
      <c r="AR629" s="74"/>
      <c r="AS629" s="74"/>
      <c r="AT629" s="74"/>
      <c r="AU629" s="74"/>
      <c r="AV629" s="74"/>
      <c r="AW629" s="74"/>
      <c r="AX629" s="74"/>
      <c r="AY629" s="74"/>
      <c r="AZ629" s="74"/>
    </row>
    <row r="630">
      <c r="A630" s="71"/>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c r="AJ630" s="74"/>
      <c r="AK630" s="74"/>
      <c r="AL630" s="74"/>
      <c r="AM630" s="74"/>
      <c r="AN630" s="74"/>
      <c r="AO630" s="74"/>
      <c r="AP630" s="74"/>
      <c r="AQ630" s="74"/>
      <c r="AR630" s="74"/>
      <c r="AS630" s="74"/>
      <c r="AT630" s="74"/>
      <c r="AU630" s="74"/>
      <c r="AV630" s="74"/>
      <c r="AW630" s="74"/>
      <c r="AX630" s="74"/>
      <c r="AY630" s="74"/>
      <c r="AZ630" s="74"/>
    </row>
    <row r="631">
      <c r="A631" s="71"/>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c r="AJ631" s="74"/>
      <c r="AK631" s="74"/>
      <c r="AL631" s="74"/>
      <c r="AM631" s="74"/>
      <c r="AN631" s="74"/>
      <c r="AO631" s="74"/>
      <c r="AP631" s="74"/>
      <c r="AQ631" s="74"/>
      <c r="AR631" s="74"/>
      <c r="AS631" s="74"/>
      <c r="AT631" s="74"/>
      <c r="AU631" s="74"/>
      <c r="AV631" s="74"/>
      <c r="AW631" s="74"/>
      <c r="AX631" s="74"/>
      <c r="AY631" s="74"/>
      <c r="AZ631" s="74"/>
    </row>
    <row r="632">
      <c r="A632" s="71"/>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c r="AJ632" s="74"/>
      <c r="AK632" s="74"/>
      <c r="AL632" s="74"/>
      <c r="AM632" s="74"/>
      <c r="AN632" s="74"/>
      <c r="AO632" s="74"/>
      <c r="AP632" s="74"/>
      <c r="AQ632" s="74"/>
      <c r="AR632" s="74"/>
      <c r="AS632" s="74"/>
      <c r="AT632" s="74"/>
      <c r="AU632" s="74"/>
      <c r="AV632" s="74"/>
      <c r="AW632" s="74"/>
      <c r="AX632" s="74"/>
      <c r="AY632" s="74"/>
      <c r="AZ632" s="74"/>
    </row>
    <row r="633">
      <c r="A633" s="71"/>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c r="AJ633" s="74"/>
      <c r="AK633" s="74"/>
      <c r="AL633" s="74"/>
      <c r="AM633" s="74"/>
      <c r="AN633" s="74"/>
      <c r="AO633" s="74"/>
      <c r="AP633" s="74"/>
      <c r="AQ633" s="74"/>
      <c r="AR633" s="74"/>
      <c r="AS633" s="74"/>
      <c r="AT633" s="74"/>
      <c r="AU633" s="74"/>
      <c r="AV633" s="74"/>
      <c r="AW633" s="74"/>
      <c r="AX633" s="74"/>
      <c r="AY633" s="74"/>
      <c r="AZ633" s="74"/>
    </row>
    <row r="634">
      <c r="A634" s="71"/>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c r="AJ634" s="74"/>
      <c r="AK634" s="74"/>
      <c r="AL634" s="74"/>
      <c r="AM634" s="74"/>
      <c r="AN634" s="74"/>
      <c r="AO634" s="74"/>
      <c r="AP634" s="74"/>
      <c r="AQ634" s="74"/>
      <c r="AR634" s="74"/>
      <c r="AS634" s="74"/>
      <c r="AT634" s="74"/>
      <c r="AU634" s="74"/>
      <c r="AV634" s="74"/>
      <c r="AW634" s="74"/>
      <c r="AX634" s="74"/>
      <c r="AY634" s="74"/>
      <c r="AZ634" s="74"/>
    </row>
    <row r="635">
      <c r="A635" s="71"/>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c r="AJ635" s="74"/>
      <c r="AK635" s="74"/>
      <c r="AL635" s="74"/>
      <c r="AM635" s="74"/>
      <c r="AN635" s="74"/>
      <c r="AO635" s="74"/>
      <c r="AP635" s="74"/>
      <c r="AQ635" s="74"/>
      <c r="AR635" s="74"/>
      <c r="AS635" s="74"/>
      <c r="AT635" s="74"/>
      <c r="AU635" s="74"/>
      <c r="AV635" s="74"/>
      <c r="AW635" s="74"/>
      <c r="AX635" s="74"/>
      <c r="AY635" s="74"/>
      <c r="AZ635" s="74"/>
    </row>
    <row r="636">
      <c r="A636" s="71"/>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c r="AJ636" s="74"/>
      <c r="AK636" s="74"/>
      <c r="AL636" s="74"/>
      <c r="AM636" s="74"/>
      <c r="AN636" s="74"/>
      <c r="AO636" s="74"/>
      <c r="AP636" s="74"/>
      <c r="AQ636" s="74"/>
      <c r="AR636" s="74"/>
      <c r="AS636" s="74"/>
      <c r="AT636" s="74"/>
      <c r="AU636" s="74"/>
      <c r="AV636" s="74"/>
      <c r="AW636" s="74"/>
      <c r="AX636" s="74"/>
      <c r="AY636" s="74"/>
      <c r="AZ636" s="74"/>
    </row>
    <row r="637">
      <c r="A637" s="71"/>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c r="AJ637" s="74"/>
      <c r="AK637" s="74"/>
      <c r="AL637" s="74"/>
      <c r="AM637" s="74"/>
      <c r="AN637" s="74"/>
      <c r="AO637" s="74"/>
      <c r="AP637" s="74"/>
      <c r="AQ637" s="74"/>
      <c r="AR637" s="74"/>
      <c r="AS637" s="74"/>
      <c r="AT637" s="74"/>
      <c r="AU637" s="74"/>
      <c r="AV637" s="74"/>
      <c r="AW637" s="74"/>
      <c r="AX637" s="74"/>
      <c r="AY637" s="74"/>
      <c r="AZ637" s="74"/>
    </row>
    <row r="638">
      <c r="A638" s="71"/>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c r="AJ638" s="74"/>
      <c r="AK638" s="74"/>
      <c r="AL638" s="74"/>
      <c r="AM638" s="74"/>
      <c r="AN638" s="74"/>
      <c r="AO638" s="74"/>
      <c r="AP638" s="74"/>
      <c r="AQ638" s="74"/>
      <c r="AR638" s="74"/>
      <c r="AS638" s="74"/>
      <c r="AT638" s="74"/>
      <c r="AU638" s="74"/>
      <c r="AV638" s="74"/>
      <c r="AW638" s="74"/>
      <c r="AX638" s="74"/>
      <c r="AY638" s="74"/>
      <c r="AZ638" s="74"/>
    </row>
    <row r="639">
      <c r="A639" s="71"/>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c r="AJ639" s="74"/>
      <c r="AK639" s="74"/>
      <c r="AL639" s="74"/>
      <c r="AM639" s="74"/>
      <c r="AN639" s="74"/>
      <c r="AO639" s="74"/>
      <c r="AP639" s="74"/>
      <c r="AQ639" s="74"/>
      <c r="AR639" s="74"/>
      <c r="AS639" s="74"/>
      <c r="AT639" s="74"/>
      <c r="AU639" s="74"/>
      <c r="AV639" s="74"/>
      <c r="AW639" s="74"/>
      <c r="AX639" s="74"/>
      <c r="AY639" s="74"/>
      <c r="AZ639" s="74"/>
    </row>
    <row r="640">
      <c r="A640" s="71"/>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c r="AJ640" s="74"/>
      <c r="AK640" s="74"/>
      <c r="AL640" s="74"/>
      <c r="AM640" s="74"/>
      <c r="AN640" s="74"/>
      <c r="AO640" s="74"/>
      <c r="AP640" s="74"/>
      <c r="AQ640" s="74"/>
      <c r="AR640" s="74"/>
      <c r="AS640" s="74"/>
      <c r="AT640" s="74"/>
      <c r="AU640" s="74"/>
      <c r="AV640" s="74"/>
      <c r="AW640" s="74"/>
      <c r="AX640" s="74"/>
      <c r="AY640" s="74"/>
      <c r="AZ640" s="74"/>
    </row>
    <row r="641">
      <c r="A641" s="71"/>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c r="AJ641" s="74"/>
      <c r="AK641" s="74"/>
      <c r="AL641" s="74"/>
      <c r="AM641" s="74"/>
      <c r="AN641" s="74"/>
      <c r="AO641" s="74"/>
      <c r="AP641" s="74"/>
      <c r="AQ641" s="74"/>
      <c r="AR641" s="74"/>
      <c r="AS641" s="74"/>
      <c r="AT641" s="74"/>
      <c r="AU641" s="74"/>
      <c r="AV641" s="74"/>
      <c r="AW641" s="74"/>
      <c r="AX641" s="74"/>
      <c r="AY641" s="74"/>
      <c r="AZ641" s="74"/>
    </row>
    <row r="642">
      <c r="A642" s="71"/>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c r="AJ642" s="74"/>
      <c r="AK642" s="74"/>
      <c r="AL642" s="74"/>
      <c r="AM642" s="74"/>
      <c r="AN642" s="74"/>
      <c r="AO642" s="74"/>
      <c r="AP642" s="74"/>
      <c r="AQ642" s="74"/>
      <c r="AR642" s="74"/>
      <c r="AS642" s="74"/>
      <c r="AT642" s="74"/>
      <c r="AU642" s="74"/>
      <c r="AV642" s="74"/>
      <c r="AW642" s="74"/>
      <c r="AX642" s="74"/>
      <c r="AY642" s="74"/>
      <c r="AZ642" s="74"/>
    </row>
    <row r="643">
      <c r="A643" s="71"/>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c r="AJ643" s="74"/>
      <c r="AK643" s="74"/>
      <c r="AL643" s="74"/>
      <c r="AM643" s="74"/>
      <c r="AN643" s="74"/>
      <c r="AO643" s="74"/>
      <c r="AP643" s="74"/>
      <c r="AQ643" s="74"/>
      <c r="AR643" s="74"/>
      <c r="AS643" s="74"/>
      <c r="AT643" s="74"/>
      <c r="AU643" s="74"/>
      <c r="AV643" s="74"/>
      <c r="AW643" s="74"/>
      <c r="AX643" s="74"/>
      <c r="AY643" s="74"/>
      <c r="AZ643" s="74"/>
    </row>
    <row r="644">
      <c r="A644" s="71"/>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c r="AJ644" s="74"/>
      <c r="AK644" s="74"/>
      <c r="AL644" s="74"/>
      <c r="AM644" s="74"/>
      <c r="AN644" s="74"/>
      <c r="AO644" s="74"/>
      <c r="AP644" s="74"/>
      <c r="AQ644" s="74"/>
      <c r="AR644" s="74"/>
      <c r="AS644" s="74"/>
      <c r="AT644" s="74"/>
      <c r="AU644" s="74"/>
      <c r="AV644" s="74"/>
      <c r="AW644" s="74"/>
      <c r="AX644" s="74"/>
      <c r="AY644" s="74"/>
      <c r="AZ644" s="74"/>
    </row>
    <row r="645">
      <c r="A645" s="71"/>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c r="AJ645" s="74"/>
      <c r="AK645" s="74"/>
      <c r="AL645" s="74"/>
      <c r="AM645" s="74"/>
      <c r="AN645" s="74"/>
      <c r="AO645" s="74"/>
      <c r="AP645" s="74"/>
      <c r="AQ645" s="74"/>
      <c r="AR645" s="74"/>
      <c r="AS645" s="74"/>
      <c r="AT645" s="74"/>
      <c r="AU645" s="74"/>
      <c r="AV645" s="74"/>
      <c r="AW645" s="74"/>
      <c r="AX645" s="74"/>
      <c r="AY645" s="74"/>
      <c r="AZ645" s="74"/>
    </row>
    <row r="646">
      <c r="A646" s="71"/>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c r="AJ646" s="74"/>
      <c r="AK646" s="74"/>
      <c r="AL646" s="74"/>
      <c r="AM646" s="74"/>
      <c r="AN646" s="74"/>
      <c r="AO646" s="74"/>
      <c r="AP646" s="74"/>
      <c r="AQ646" s="74"/>
      <c r="AR646" s="74"/>
      <c r="AS646" s="74"/>
      <c r="AT646" s="74"/>
      <c r="AU646" s="74"/>
      <c r="AV646" s="74"/>
      <c r="AW646" s="74"/>
      <c r="AX646" s="74"/>
      <c r="AY646" s="74"/>
      <c r="AZ646" s="74"/>
    </row>
    <row r="647">
      <c r="A647" s="71"/>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c r="AJ647" s="74"/>
      <c r="AK647" s="74"/>
      <c r="AL647" s="74"/>
      <c r="AM647" s="74"/>
      <c r="AN647" s="74"/>
      <c r="AO647" s="74"/>
      <c r="AP647" s="74"/>
      <c r="AQ647" s="74"/>
      <c r="AR647" s="74"/>
      <c r="AS647" s="74"/>
      <c r="AT647" s="74"/>
      <c r="AU647" s="74"/>
      <c r="AV647" s="74"/>
      <c r="AW647" s="74"/>
      <c r="AX647" s="74"/>
      <c r="AY647" s="74"/>
      <c r="AZ647" s="74"/>
    </row>
    <row r="648">
      <c r="A648" s="71"/>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c r="AJ648" s="74"/>
      <c r="AK648" s="74"/>
      <c r="AL648" s="74"/>
      <c r="AM648" s="74"/>
      <c r="AN648" s="74"/>
      <c r="AO648" s="74"/>
      <c r="AP648" s="74"/>
      <c r="AQ648" s="74"/>
      <c r="AR648" s="74"/>
      <c r="AS648" s="74"/>
      <c r="AT648" s="74"/>
      <c r="AU648" s="74"/>
      <c r="AV648" s="74"/>
      <c r="AW648" s="74"/>
      <c r="AX648" s="74"/>
      <c r="AY648" s="74"/>
      <c r="AZ648" s="74"/>
    </row>
    <row r="649">
      <c r="A649" s="71"/>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c r="AJ649" s="74"/>
      <c r="AK649" s="74"/>
      <c r="AL649" s="74"/>
      <c r="AM649" s="74"/>
      <c r="AN649" s="74"/>
      <c r="AO649" s="74"/>
      <c r="AP649" s="74"/>
      <c r="AQ649" s="74"/>
      <c r="AR649" s="74"/>
      <c r="AS649" s="74"/>
      <c r="AT649" s="74"/>
      <c r="AU649" s="74"/>
      <c r="AV649" s="74"/>
      <c r="AW649" s="74"/>
      <c r="AX649" s="74"/>
      <c r="AY649" s="74"/>
      <c r="AZ649" s="74"/>
    </row>
    <row r="650">
      <c r="A650" s="71"/>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c r="AJ650" s="74"/>
      <c r="AK650" s="74"/>
      <c r="AL650" s="74"/>
      <c r="AM650" s="74"/>
      <c r="AN650" s="74"/>
      <c r="AO650" s="74"/>
      <c r="AP650" s="74"/>
      <c r="AQ650" s="74"/>
      <c r="AR650" s="74"/>
      <c r="AS650" s="74"/>
      <c r="AT650" s="74"/>
      <c r="AU650" s="74"/>
      <c r="AV650" s="74"/>
      <c r="AW650" s="74"/>
      <c r="AX650" s="74"/>
      <c r="AY650" s="74"/>
      <c r="AZ650" s="74"/>
    </row>
    <row r="651">
      <c r="A651" s="71"/>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c r="AJ651" s="74"/>
      <c r="AK651" s="74"/>
      <c r="AL651" s="74"/>
      <c r="AM651" s="74"/>
      <c r="AN651" s="74"/>
      <c r="AO651" s="74"/>
      <c r="AP651" s="74"/>
      <c r="AQ651" s="74"/>
      <c r="AR651" s="74"/>
      <c r="AS651" s="74"/>
      <c r="AT651" s="74"/>
      <c r="AU651" s="74"/>
      <c r="AV651" s="74"/>
      <c r="AW651" s="74"/>
      <c r="AX651" s="74"/>
      <c r="AY651" s="74"/>
      <c r="AZ651" s="74"/>
    </row>
    <row r="652">
      <c r="A652" s="71"/>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c r="AJ652" s="74"/>
      <c r="AK652" s="74"/>
      <c r="AL652" s="74"/>
      <c r="AM652" s="74"/>
      <c r="AN652" s="74"/>
      <c r="AO652" s="74"/>
      <c r="AP652" s="74"/>
      <c r="AQ652" s="74"/>
      <c r="AR652" s="74"/>
      <c r="AS652" s="74"/>
      <c r="AT652" s="74"/>
      <c r="AU652" s="74"/>
      <c r="AV652" s="74"/>
      <c r="AW652" s="74"/>
      <c r="AX652" s="74"/>
      <c r="AY652" s="74"/>
      <c r="AZ652" s="74"/>
    </row>
    <row r="653">
      <c r="A653" s="71"/>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c r="AJ653" s="74"/>
      <c r="AK653" s="74"/>
      <c r="AL653" s="74"/>
      <c r="AM653" s="74"/>
      <c r="AN653" s="74"/>
      <c r="AO653" s="74"/>
      <c r="AP653" s="74"/>
      <c r="AQ653" s="74"/>
      <c r="AR653" s="74"/>
      <c r="AS653" s="74"/>
      <c r="AT653" s="74"/>
      <c r="AU653" s="74"/>
      <c r="AV653" s="74"/>
      <c r="AW653" s="74"/>
      <c r="AX653" s="74"/>
      <c r="AY653" s="74"/>
      <c r="AZ653" s="74"/>
    </row>
    <row r="654">
      <c r="A654" s="71"/>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row>
    <row r="655">
      <c r="A655" s="71"/>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c r="AJ655" s="74"/>
      <c r="AK655" s="74"/>
      <c r="AL655" s="74"/>
      <c r="AM655" s="74"/>
      <c r="AN655" s="74"/>
      <c r="AO655" s="74"/>
      <c r="AP655" s="74"/>
      <c r="AQ655" s="74"/>
      <c r="AR655" s="74"/>
      <c r="AS655" s="74"/>
      <c r="AT655" s="74"/>
      <c r="AU655" s="74"/>
      <c r="AV655" s="74"/>
      <c r="AW655" s="74"/>
      <c r="AX655" s="74"/>
      <c r="AY655" s="74"/>
      <c r="AZ655" s="74"/>
    </row>
    <row r="656">
      <c r="A656" s="71"/>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c r="AJ656" s="74"/>
      <c r="AK656" s="74"/>
      <c r="AL656" s="74"/>
      <c r="AM656" s="74"/>
      <c r="AN656" s="74"/>
      <c r="AO656" s="74"/>
      <c r="AP656" s="74"/>
      <c r="AQ656" s="74"/>
      <c r="AR656" s="74"/>
      <c r="AS656" s="74"/>
      <c r="AT656" s="74"/>
      <c r="AU656" s="74"/>
      <c r="AV656" s="74"/>
      <c r="AW656" s="74"/>
      <c r="AX656" s="74"/>
      <c r="AY656" s="74"/>
      <c r="AZ656" s="74"/>
    </row>
    <row r="657">
      <c r="A657" s="71"/>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c r="AJ657" s="74"/>
      <c r="AK657" s="74"/>
      <c r="AL657" s="74"/>
      <c r="AM657" s="74"/>
      <c r="AN657" s="74"/>
      <c r="AO657" s="74"/>
      <c r="AP657" s="74"/>
      <c r="AQ657" s="74"/>
      <c r="AR657" s="74"/>
      <c r="AS657" s="74"/>
      <c r="AT657" s="74"/>
      <c r="AU657" s="74"/>
      <c r="AV657" s="74"/>
      <c r="AW657" s="74"/>
      <c r="AX657" s="74"/>
      <c r="AY657" s="74"/>
      <c r="AZ657" s="74"/>
    </row>
    <row r="658">
      <c r="A658" s="71"/>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c r="AJ658" s="74"/>
      <c r="AK658" s="74"/>
      <c r="AL658" s="74"/>
      <c r="AM658" s="74"/>
      <c r="AN658" s="74"/>
      <c r="AO658" s="74"/>
      <c r="AP658" s="74"/>
      <c r="AQ658" s="74"/>
      <c r="AR658" s="74"/>
      <c r="AS658" s="74"/>
      <c r="AT658" s="74"/>
      <c r="AU658" s="74"/>
      <c r="AV658" s="74"/>
      <c r="AW658" s="74"/>
      <c r="AX658" s="74"/>
      <c r="AY658" s="74"/>
      <c r="AZ658" s="74"/>
    </row>
    <row r="659">
      <c r="A659" s="71"/>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c r="AJ659" s="74"/>
      <c r="AK659" s="74"/>
      <c r="AL659" s="74"/>
      <c r="AM659" s="74"/>
      <c r="AN659" s="74"/>
      <c r="AO659" s="74"/>
      <c r="AP659" s="74"/>
      <c r="AQ659" s="74"/>
      <c r="AR659" s="74"/>
      <c r="AS659" s="74"/>
      <c r="AT659" s="74"/>
      <c r="AU659" s="74"/>
      <c r="AV659" s="74"/>
      <c r="AW659" s="74"/>
      <c r="AX659" s="74"/>
      <c r="AY659" s="74"/>
      <c r="AZ659" s="74"/>
    </row>
    <row r="660">
      <c r="A660" s="71"/>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c r="AJ660" s="74"/>
      <c r="AK660" s="74"/>
      <c r="AL660" s="74"/>
      <c r="AM660" s="74"/>
      <c r="AN660" s="74"/>
      <c r="AO660" s="74"/>
      <c r="AP660" s="74"/>
      <c r="AQ660" s="74"/>
      <c r="AR660" s="74"/>
      <c r="AS660" s="74"/>
      <c r="AT660" s="74"/>
      <c r="AU660" s="74"/>
      <c r="AV660" s="74"/>
      <c r="AW660" s="74"/>
      <c r="AX660" s="74"/>
      <c r="AY660" s="74"/>
      <c r="AZ660" s="74"/>
    </row>
    <row r="661">
      <c r="A661" s="71"/>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c r="AJ661" s="74"/>
      <c r="AK661" s="74"/>
      <c r="AL661" s="74"/>
      <c r="AM661" s="74"/>
      <c r="AN661" s="74"/>
      <c r="AO661" s="74"/>
      <c r="AP661" s="74"/>
      <c r="AQ661" s="74"/>
      <c r="AR661" s="74"/>
      <c r="AS661" s="74"/>
      <c r="AT661" s="74"/>
      <c r="AU661" s="74"/>
      <c r="AV661" s="74"/>
      <c r="AW661" s="74"/>
      <c r="AX661" s="74"/>
      <c r="AY661" s="74"/>
      <c r="AZ661" s="74"/>
    </row>
    <row r="662">
      <c r="A662" s="71"/>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c r="AJ662" s="74"/>
      <c r="AK662" s="74"/>
      <c r="AL662" s="74"/>
      <c r="AM662" s="74"/>
      <c r="AN662" s="74"/>
      <c r="AO662" s="74"/>
      <c r="AP662" s="74"/>
      <c r="AQ662" s="74"/>
      <c r="AR662" s="74"/>
      <c r="AS662" s="74"/>
      <c r="AT662" s="74"/>
      <c r="AU662" s="74"/>
      <c r="AV662" s="74"/>
      <c r="AW662" s="74"/>
      <c r="AX662" s="74"/>
      <c r="AY662" s="74"/>
      <c r="AZ662" s="74"/>
    </row>
    <row r="663">
      <c r="A663" s="71"/>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c r="AJ663" s="74"/>
      <c r="AK663" s="74"/>
      <c r="AL663" s="74"/>
      <c r="AM663" s="74"/>
      <c r="AN663" s="74"/>
      <c r="AO663" s="74"/>
      <c r="AP663" s="74"/>
      <c r="AQ663" s="74"/>
      <c r="AR663" s="74"/>
      <c r="AS663" s="74"/>
      <c r="AT663" s="74"/>
      <c r="AU663" s="74"/>
      <c r="AV663" s="74"/>
      <c r="AW663" s="74"/>
      <c r="AX663" s="74"/>
      <c r="AY663" s="74"/>
      <c r="AZ663" s="74"/>
    </row>
    <row r="664">
      <c r="A664" s="71"/>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c r="AJ664" s="74"/>
      <c r="AK664" s="74"/>
      <c r="AL664" s="74"/>
      <c r="AM664" s="74"/>
      <c r="AN664" s="74"/>
      <c r="AO664" s="74"/>
      <c r="AP664" s="74"/>
      <c r="AQ664" s="74"/>
      <c r="AR664" s="74"/>
      <c r="AS664" s="74"/>
      <c r="AT664" s="74"/>
      <c r="AU664" s="74"/>
      <c r="AV664" s="74"/>
      <c r="AW664" s="74"/>
      <c r="AX664" s="74"/>
      <c r="AY664" s="74"/>
      <c r="AZ664" s="74"/>
    </row>
    <row r="665">
      <c r="A665" s="71"/>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c r="AJ665" s="74"/>
      <c r="AK665" s="74"/>
      <c r="AL665" s="74"/>
      <c r="AM665" s="74"/>
      <c r="AN665" s="74"/>
      <c r="AO665" s="74"/>
      <c r="AP665" s="74"/>
      <c r="AQ665" s="74"/>
      <c r="AR665" s="74"/>
      <c r="AS665" s="74"/>
      <c r="AT665" s="74"/>
      <c r="AU665" s="74"/>
      <c r="AV665" s="74"/>
      <c r="AW665" s="74"/>
      <c r="AX665" s="74"/>
      <c r="AY665" s="74"/>
      <c r="AZ665" s="74"/>
    </row>
    <row r="666">
      <c r="A666" s="71"/>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c r="AJ666" s="74"/>
      <c r="AK666" s="74"/>
      <c r="AL666" s="74"/>
      <c r="AM666" s="74"/>
      <c r="AN666" s="74"/>
      <c r="AO666" s="74"/>
      <c r="AP666" s="74"/>
      <c r="AQ666" s="74"/>
      <c r="AR666" s="74"/>
      <c r="AS666" s="74"/>
      <c r="AT666" s="74"/>
      <c r="AU666" s="74"/>
      <c r="AV666" s="74"/>
      <c r="AW666" s="74"/>
      <c r="AX666" s="74"/>
      <c r="AY666" s="74"/>
      <c r="AZ666" s="74"/>
    </row>
    <row r="667">
      <c r="A667" s="71"/>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c r="AJ667" s="74"/>
      <c r="AK667" s="74"/>
      <c r="AL667" s="74"/>
      <c r="AM667" s="74"/>
      <c r="AN667" s="74"/>
      <c r="AO667" s="74"/>
      <c r="AP667" s="74"/>
      <c r="AQ667" s="74"/>
      <c r="AR667" s="74"/>
      <c r="AS667" s="74"/>
      <c r="AT667" s="74"/>
      <c r="AU667" s="74"/>
      <c r="AV667" s="74"/>
      <c r="AW667" s="74"/>
      <c r="AX667" s="74"/>
      <c r="AY667" s="74"/>
      <c r="AZ667" s="74"/>
    </row>
    <row r="668">
      <c r="A668" s="71"/>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c r="AJ668" s="74"/>
      <c r="AK668" s="74"/>
      <c r="AL668" s="74"/>
      <c r="AM668" s="74"/>
      <c r="AN668" s="74"/>
      <c r="AO668" s="74"/>
      <c r="AP668" s="74"/>
      <c r="AQ668" s="74"/>
      <c r="AR668" s="74"/>
      <c r="AS668" s="74"/>
      <c r="AT668" s="74"/>
      <c r="AU668" s="74"/>
      <c r="AV668" s="74"/>
      <c r="AW668" s="74"/>
      <c r="AX668" s="74"/>
      <c r="AY668" s="74"/>
      <c r="AZ668" s="74"/>
    </row>
    <row r="669">
      <c r="A669" s="71"/>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c r="AJ669" s="74"/>
      <c r="AK669" s="74"/>
      <c r="AL669" s="74"/>
      <c r="AM669" s="74"/>
      <c r="AN669" s="74"/>
      <c r="AO669" s="74"/>
      <c r="AP669" s="74"/>
      <c r="AQ669" s="74"/>
      <c r="AR669" s="74"/>
      <c r="AS669" s="74"/>
      <c r="AT669" s="74"/>
      <c r="AU669" s="74"/>
      <c r="AV669" s="74"/>
      <c r="AW669" s="74"/>
      <c r="AX669" s="74"/>
      <c r="AY669" s="74"/>
      <c r="AZ669" s="74"/>
    </row>
    <row r="670">
      <c r="A670" s="71"/>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c r="AJ670" s="74"/>
      <c r="AK670" s="74"/>
      <c r="AL670" s="74"/>
      <c r="AM670" s="74"/>
      <c r="AN670" s="74"/>
      <c r="AO670" s="74"/>
      <c r="AP670" s="74"/>
      <c r="AQ670" s="74"/>
      <c r="AR670" s="74"/>
      <c r="AS670" s="74"/>
      <c r="AT670" s="74"/>
      <c r="AU670" s="74"/>
      <c r="AV670" s="74"/>
      <c r="AW670" s="74"/>
      <c r="AX670" s="74"/>
      <c r="AY670" s="74"/>
      <c r="AZ670" s="74"/>
    </row>
    <row r="671">
      <c r="A671" s="71"/>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c r="AJ671" s="74"/>
      <c r="AK671" s="74"/>
      <c r="AL671" s="74"/>
      <c r="AM671" s="74"/>
      <c r="AN671" s="74"/>
      <c r="AO671" s="74"/>
      <c r="AP671" s="74"/>
      <c r="AQ671" s="74"/>
      <c r="AR671" s="74"/>
      <c r="AS671" s="74"/>
      <c r="AT671" s="74"/>
      <c r="AU671" s="74"/>
      <c r="AV671" s="74"/>
      <c r="AW671" s="74"/>
      <c r="AX671" s="74"/>
      <c r="AY671" s="74"/>
      <c r="AZ671" s="74"/>
    </row>
    <row r="672">
      <c r="A672" s="71"/>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c r="AJ672" s="74"/>
      <c r="AK672" s="74"/>
      <c r="AL672" s="74"/>
      <c r="AM672" s="74"/>
      <c r="AN672" s="74"/>
      <c r="AO672" s="74"/>
      <c r="AP672" s="74"/>
      <c r="AQ672" s="74"/>
      <c r="AR672" s="74"/>
      <c r="AS672" s="74"/>
      <c r="AT672" s="74"/>
      <c r="AU672" s="74"/>
      <c r="AV672" s="74"/>
      <c r="AW672" s="74"/>
      <c r="AX672" s="74"/>
      <c r="AY672" s="74"/>
      <c r="AZ672" s="74"/>
    </row>
    <row r="673">
      <c r="A673" s="71"/>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c r="AJ673" s="74"/>
      <c r="AK673" s="74"/>
      <c r="AL673" s="74"/>
      <c r="AM673" s="74"/>
      <c r="AN673" s="74"/>
      <c r="AO673" s="74"/>
      <c r="AP673" s="74"/>
      <c r="AQ673" s="74"/>
      <c r="AR673" s="74"/>
      <c r="AS673" s="74"/>
      <c r="AT673" s="74"/>
      <c r="AU673" s="74"/>
      <c r="AV673" s="74"/>
      <c r="AW673" s="74"/>
      <c r="AX673" s="74"/>
      <c r="AY673" s="74"/>
      <c r="AZ673" s="74"/>
    </row>
    <row r="674">
      <c r="A674" s="71"/>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c r="AJ674" s="74"/>
      <c r="AK674" s="74"/>
      <c r="AL674" s="74"/>
      <c r="AM674" s="74"/>
      <c r="AN674" s="74"/>
      <c r="AO674" s="74"/>
      <c r="AP674" s="74"/>
      <c r="AQ674" s="74"/>
      <c r="AR674" s="74"/>
      <c r="AS674" s="74"/>
      <c r="AT674" s="74"/>
      <c r="AU674" s="74"/>
      <c r="AV674" s="74"/>
      <c r="AW674" s="74"/>
      <c r="AX674" s="74"/>
      <c r="AY674" s="74"/>
      <c r="AZ674" s="74"/>
    </row>
    <row r="675">
      <c r="A675" s="71"/>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c r="AM675" s="74"/>
      <c r="AN675" s="74"/>
      <c r="AO675" s="74"/>
      <c r="AP675" s="74"/>
      <c r="AQ675" s="74"/>
      <c r="AR675" s="74"/>
      <c r="AS675" s="74"/>
      <c r="AT675" s="74"/>
      <c r="AU675" s="74"/>
      <c r="AV675" s="74"/>
      <c r="AW675" s="74"/>
      <c r="AX675" s="74"/>
      <c r="AY675" s="74"/>
      <c r="AZ675" s="74"/>
    </row>
    <row r="676">
      <c r="A676" s="71"/>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c r="AJ676" s="74"/>
      <c r="AK676" s="74"/>
      <c r="AL676" s="74"/>
      <c r="AM676" s="74"/>
      <c r="AN676" s="74"/>
      <c r="AO676" s="74"/>
      <c r="AP676" s="74"/>
      <c r="AQ676" s="74"/>
      <c r="AR676" s="74"/>
      <c r="AS676" s="74"/>
      <c r="AT676" s="74"/>
      <c r="AU676" s="74"/>
      <c r="AV676" s="74"/>
      <c r="AW676" s="74"/>
      <c r="AX676" s="74"/>
      <c r="AY676" s="74"/>
      <c r="AZ676" s="74"/>
    </row>
    <row r="677">
      <c r="A677" s="71"/>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c r="AJ677" s="74"/>
      <c r="AK677" s="74"/>
      <c r="AL677" s="74"/>
      <c r="AM677" s="74"/>
      <c r="AN677" s="74"/>
      <c r="AO677" s="74"/>
      <c r="AP677" s="74"/>
      <c r="AQ677" s="74"/>
      <c r="AR677" s="74"/>
      <c r="AS677" s="74"/>
      <c r="AT677" s="74"/>
      <c r="AU677" s="74"/>
      <c r="AV677" s="74"/>
      <c r="AW677" s="74"/>
      <c r="AX677" s="74"/>
      <c r="AY677" s="74"/>
      <c r="AZ677" s="74"/>
    </row>
    <row r="678">
      <c r="A678" s="71"/>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c r="AJ678" s="74"/>
      <c r="AK678" s="74"/>
      <c r="AL678" s="74"/>
      <c r="AM678" s="74"/>
      <c r="AN678" s="74"/>
      <c r="AO678" s="74"/>
      <c r="AP678" s="74"/>
      <c r="AQ678" s="74"/>
      <c r="AR678" s="74"/>
      <c r="AS678" s="74"/>
      <c r="AT678" s="74"/>
      <c r="AU678" s="74"/>
      <c r="AV678" s="74"/>
      <c r="AW678" s="74"/>
      <c r="AX678" s="74"/>
      <c r="AY678" s="74"/>
      <c r="AZ678" s="74"/>
    </row>
    <row r="679">
      <c r="A679" s="71"/>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c r="AJ679" s="74"/>
      <c r="AK679" s="74"/>
      <c r="AL679" s="74"/>
      <c r="AM679" s="74"/>
      <c r="AN679" s="74"/>
      <c r="AO679" s="74"/>
      <c r="AP679" s="74"/>
      <c r="AQ679" s="74"/>
      <c r="AR679" s="74"/>
      <c r="AS679" s="74"/>
      <c r="AT679" s="74"/>
      <c r="AU679" s="74"/>
      <c r="AV679" s="74"/>
      <c r="AW679" s="74"/>
      <c r="AX679" s="74"/>
      <c r="AY679" s="74"/>
      <c r="AZ679" s="74"/>
    </row>
    <row r="680">
      <c r="A680" s="71"/>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c r="AJ680" s="74"/>
      <c r="AK680" s="74"/>
      <c r="AL680" s="74"/>
      <c r="AM680" s="74"/>
      <c r="AN680" s="74"/>
      <c r="AO680" s="74"/>
      <c r="AP680" s="74"/>
      <c r="AQ680" s="74"/>
      <c r="AR680" s="74"/>
      <c r="AS680" s="74"/>
      <c r="AT680" s="74"/>
      <c r="AU680" s="74"/>
      <c r="AV680" s="74"/>
      <c r="AW680" s="74"/>
      <c r="AX680" s="74"/>
      <c r="AY680" s="74"/>
      <c r="AZ680" s="74"/>
    </row>
    <row r="681">
      <c r="A681" s="71"/>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c r="AJ681" s="74"/>
      <c r="AK681" s="74"/>
      <c r="AL681" s="74"/>
      <c r="AM681" s="74"/>
      <c r="AN681" s="74"/>
      <c r="AO681" s="74"/>
      <c r="AP681" s="74"/>
      <c r="AQ681" s="74"/>
      <c r="AR681" s="74"/>
      <c r="AS681" s="74"/>
      <c r="AT681" s="74"/>
      <c r="AU681" s="74"/>
      <c r="AV681" s="74"/>
      <c r="AW681" s="74"/>
      <c r="AX681" s="74"/>
      <c r="AY681" s="74"/>
      <c r="AZ681" s="74"/>
    </row>
    <row r="682">
      <c r="A682" s="71"/>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c r="AJ682" s="74"/>
      <c r="AK682" s="74"/>
      <c r="AL682" s="74"/>
      <c r="AM682" s="74"/>
      <c r="AN682" s="74"/>
      <c r="AO682" s="74"/>
      <c r="AP682" s="74"/>
      <c r="AQ682" s="74"/>
      <c r="AR682" s="74"/>
      <c r="AS682" s="74"/>
      <c r="AT682" s="74"/>
      <c r="AU682" s="74"/>
      <c r="AV682" s="74"/>
      <c r="AW682" s="74"/>
      <c r="AX682" s="74"/>
      <c r="AY682" s="74"/>
      <c r="AZ682" s="74"/>
    </row>
    <row r="683">
      <c r="A683" s="71"/>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c r="AJ683" s="74"/>
      <c r="AK683" s="74"/>
      <c r="AL683" s="74"/>
      <c r="AM683" s="74"/>
      <c r="AN683" s="74"/>
      <c r="AO683" s="74"/>
      <c r="AP683" s="74"/>
      <c r="AQ683" s="74"/>
      <c r="AR683" s="74"/>
      <c r="AS683" s="74"/>
      <c r="AT683" s="74"/>
      <c r="AU683" s="74"/>
      <c r="AV683" s="74"/>
      <c r="AW683" s="74"/>
      <c r="AX683" s="74"/>
      <c r="AY683" s="74"/>
      <c r="AZ683" s="74"/>
    </row>
    <row r="684">
      <c r="A684" s="71"/>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c r="AJ684" s="74"/>
      <c r="AK684" s="74"/>
      <c r="AL684" s="74"/>
      <c r="AM684" s="74"/>
      <c r="AN684" s="74"/>
      <c r="AO684" s="74"/>
      <c r="AP684" s="74"/>
      <c r="AQ684" s="74"/>
      <c r="AR684" s="74"/>
      <c r="AS684" s="74"/>
      <c r="AT684" s="74"/>
      <c r="AU684" s="74"/>
      <c r="AV684" s="74"/>
      <c r="AW684" s="74"/>
      <c r="AX684" s="74"/>
      <c r="AY684" s="74"/>
      <c r="AZ684" s="74"/>
    </row>
    <row r="685">
      <c r="A685" s="71"/>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c r="AJ685" s="74"/>
      <c r="AK685" s="74"/>
      <c r="AL685" s="74"/>
      <c r="AM685" s="74"/>
      <c r="AN685" s="74"/>
      <c r="AO685" s="74"/>
      <c r="AP685" s="74"/>
      <c r="AQ685" s="74"/>
      <c r="AR685" s="74"/>
      <c r="AS685" s="74"/>
      <c r="AT685" s="74"/>
      <c r="AU685" s="74"/>
      <c r="AV685" s="74"/>
      <c r="AW685" s="74"/>
      <c r="AX685" s="74"/>
      <c r="AY685" s="74"/>
      <c r="AZ685" s="74"/>
    </row>
    <row r="686">
      <c r="A686" s="71"/>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c r="AM686" s="74"/>
      <c r="AN686" s="74"/>
      <c r="AO686" s="74"/>
      <c r="AP686" s="74"/>
      <c r="AQ686" s="74"/>
      <c r="AR686" s="74"/>
      <c r="AS686" s="74"/>
      <c r="AT686" s="74"/>
      <c r="AU686" s="74"/>
      <c r="AV686" s="74"/>
      <c r="AW686" s="74"/>
      <c r="AX686" s="74"/>
      <c r="AY686" s="74"/>
      <c r="AZ686" s="74"/>
    </row>
    <row r="687">
      <c r="A687" s="71"/>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c r="AJ687" s="74"/>
      <c r="AK687" s="74"/>
      <c r="AL687" s="74"/>
      <c r="AM687" s="74"/>
      <c r="AN687" s="74"/>
      <c r="AO687" s="74"/>
      <c r="AP687" s="74"/>
      <c r="AQ687" s="74"/>
      <c r="AR687" s="74"/>
      <c r="AS687" s="74"/>
      <c r="AT687" s="74"/>
      <c r="AU687" s="74"/>
      <c r="AV687" s="74"/>
      <c r="AW687" s="74"/>
      <c r="AX687" s="74"/>
      <c r="AY687" s="74"/>
      <c r="AZ687" s="74"/>
    </row>
    <row r="688">
      <c r="A688" s="71"/>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c r="AJ688" s="74"/>
      <c r="AK688" s="74"/>
      <c r="AL688" s="74"/>
      <c r="AM688" s="74"/>
      <c r="AN688" s="74"/>
      <c r="AO688" s="74"/>
      <c r="AP688" s="74"/>
      <c r="AQ688" s="74"/>
      <c r="AR688" s="74"/>
      <c r="AS688" s="74"/>
      <c r="AT688" s="74"/>
      <c r="AU688" s="74"/>
      <c r="AV688" s="74"/>
      <c r="AW688" s="74"/>
      <c r="AX688" s="74"/>
      <c r="AY688" s="74"/>
      <c r="AZ688" s="74"/>
    </row>
    <row r="689">
      <c r="A689" s="71"/>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c r="AM689" s="74"/>
      <c r="AN689" s="74"/>
      <c r="AO689" s="74"/>
      <c r="AP689" s="74"/>
      <c r="AQ689" s="74"/>
      <c r="AR689" s="74"/>
      <c r="AS689" s="74"/>
      <c r="AT689" s="74"/>
      <c r="AU689" s="74"/>
      <c r="AV689" s="74"/>
      <c r="AW689" s="74"/>
      <c r="AX689" s="74"/>
      <c r="AY689" s="74"/>
      <c r="AZ689" s="74"/>
    </row>
    <row r="690">
      <c r="A690" s="71"/>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c r="AJ690" s="74"/>
      <c r="AK690" s="74"/>
      <c r="AL690" s="74"/>
      <c r="AM690" s="74"/>
      <c r="AN690" s="74"/>
      <c r="AO690" s="74"/>
      <c r="AP690" s="74"/>
      <c r="AQ690" s="74"/>
      <c r="AR690" s="74"/>
      <c r="AS690" s="74"/>
      <c r="AT690" s="74"/>
      <c r="AU690" s="74"/>
      <c r="AV690" s="74"/>
      <c r="AW690" s="74"/>
      <c r="AX690" s="74"/>
      <c r="AY690" s="74"/>
      <c r="AZ690" s="74"/>
    </row>
    <row r="691">
      <c r="A691" s="71"/>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c r="AJ691" s="74"/>
      <c r="AK691" s="74"/>
      <c r="AL691" s="74"/>
      <c r="AM691" s="74"/>
      <c r="AN691" s="74"/>
      <c r="AO691" s="74"/>
      <c r="AP691" s="74"/>
      <c r="AQ691" s="74"/>
      <c r="AR691" s="74"/>
      <c r="AS691" s="74"/>
      <c r="AT691" s="74"/>
      <c r="AU691" s="74"/>
      <c r="AV691" s="74"/>
      <c r="AW691" s="74"/>
      <c r="AX691" s="74"/>
      <c r="AY691" s="74"/>
      <c r="AZ691" s="74"/>
    </row>
    <row r="692">
      <c r="A692" s="71"/>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c r="AJ692" s="74"/>
      <c r="AK692" s="74"/>
      <c r="AL692" s="74"/>
      <c r="AM692" s="74"/>
      <c r="AN692" s="74"/>
      <c r="AO692" s="74"/>
      <c r="AP692" s="74"/>
      <c r="AQ692" s="74"/>
      <c r="AR692" s="74"/>
      <c r="AS692" s="74"/>
      <c r="AT692" s="74"/>
      <c r="AU692" s="74"/>
      <c r="AV692" s="74"/>
      <c r="AW692" s="74"/>
      <c r="AX692" s="74"/>
      <c r="AY692" s="74"/>
      <c r="AZ692" s="74"/>
    </row>
    <row r="693">
      <c r="A693" s="71"/>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c r="AJ693" s="74"/>
      <c r="AK693" s="74"/>
      <c r="AL693" s="74"/>
      <c r="AM693" s="74"/>
      <c r="AN693" s="74"/>
      <c r="AO693" s="74"/>
      <c r="AP693" s="74"/>
      <c r="AQ693" s="74"/>
      <c r="AR693" s="74"/>
      <c r="AS693" s="74"/>
      <c r="AT693" s="74"/>
      <c r="AU693" s="74"/>
      <c r="AV693" s="74"/>
      <c r="AW693" s="74"/>
      <c r="AX693" s="74"/>
      <c r="AY693" s="74"/>
      <c r="AZ693" s="74"/>
    </row>
    <row r="694">
      <c r="A694" s="71"/>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c r="AJ694" s="74"/>
      <c r="AK694" s="74"/>
      <c r="AL694" s="74"/>
      <c r="AM694" s="74"/>
      <c r="AN694" s="74"/>
      <c r="AO694" s="74"/>
      <c r="AP694" s="74"/>
      <c r="AQ694" s="74"/>
      <c r="AR694" s="74"/>
      <c r="AS694" s="74"/>
      <c r="AT694" s="74"/>
      <c r="AU694" s="74"/>
      <c r="AV694" s="74"/>
      <c r="AW694" s="74"/>
      <c r="AX694" s="74"/>
      <c r="AY694" s="74"/>
      <c r="AZ694" s="74"/>
    </row>
    <row r="695">
      <c r="A695" s="71"/>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c r="AJ695" s="74"/>
      <c r="AK695" s="74"/>
      <c r="AL695" s="74"/>
      <c r="AM695" s="74"/>
      <c r="AN695" s="74"/>
      <c r="AO695" s="74"/>
      <c r="AP695" s="74"/>
      <c r="AQ695" s="74"/>
      <c r="AR695" s="74"/>
      <c r="AS695" s="74"/>
      <c r="AT695" s="74"/>
      <c r="AU695" s="74"/>
      <c r="AV695" s="74"/>
      <c r="AW695" s="74"/>
      <c r="AX695" s="74"/>
      <c r="AY695" s="74"/>
      <c r="AZ695" s="74"/>
    </row>
    <row r="696">
      <c r="A696" s="71"/>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c r="AJ696" s="74"/>
      <c r="AK696" s="74"/>
      <c r="AL696" s="74"/>
      <c r="AM696" s="74"/>
      <c r="AN696" s="74"/>
      <c r="AO696" s="74"/>
      <c r="AP696" s="74"/>
      <c r="AQ696" s="74"/>
      <c r="AR696" s="74"/>
      <c r="AS696" s="74"/>
      <c r="AT696" s="74"/>
      <c r="AU696" s="74"/>
      <c r="AV696" s="74"/>
      <c r="AW696" s="74"/>
      <c r="AX696" s="74"/>
      <c r="AY696" s="74"/>
      <c r="AZ696" s="74"/>
    </row>
    <row r="697">
      <c r="A697" s="71"/>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c r="AJ697" s="74"/>
      <c r="AK697" s="74"/>
      <c r="AL697" s="74"/>
      <c r="AM697" s="74"/>
      <c r="AN697" s="74"/>
      <c r="AO697" s="74"/>
      <c r="AP697" s="74"/>
      <c r="AQ697" s="74"/>
      <c r="AR697" s="74"/>
      <c r="AS697" s="74"/>
      <c r="AT697" s="74"/>
      <c r="AU697" s="74"/>
      <c r="AV697" s="74"/>
      <c r="AW697" s="74"/>
      <c r="AX697" s="74"/>
      <c r="AY697" s="74"/>
      <c r="AZ697" s="74"/>
    </row>
    <row r="698">
      <c r="A698" s="71"/>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c r="AJ698" s="74"/>
      <c r="AK698" s="74"/>
      <c r="AL698" s="74"/>
      <c r="AM698" s="74"/>
      <c r="AN698" s="74"/>
      <c r="AO698" s="74"/>
      <c r="AP698" s="74"/>
      <c r="AQ698" s="74"/>
      <c r="AR698" s="74"/>
      <c r="AS698" s="74"/>
      <c r="AT698" s="74"/>
      <c r="AU698" s="74"/>
      <c r="AV698" s="74"/>
      <c r="AW698" s="74"/>
      <c r="AX698" s="74"/>
      <c r="AY698" s="74"/>
      <c r="AZ698" s="74"/>
    </row>
    <row r="699">
      <c r="A699" s="71"/>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c r="AJ699" s="74"/>
      <c r="AK699" s="74"/>
      <c r="AL699" s="74"/>
      <c r="AM699" s="74"/>
      <c r="AN699" s="74"/>
      <c r="AO699" s="74"/>
      <c r="AP699" s="74"/>
      <c r="AQ699" s="74"/>
      <c r="AR699" s="74"/>
      <c r="AS699" s="74"/>
      <c r="AT699" s="74"/>
      <c r="AU699" s="74"/>
      <c r="AV699" s="74"/>
      <c r="AW699" s="74"/>
      <c r="AX699" s="74"/>
      <c r="AY699" s="74"/>
      <c r="AZ699" s="74"/>
    </row>
    <row r="700">
      <c r="A700" s="71"/>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c r="AJ700" s="74"/>
      <c r="AK700" s="74"/>
      <c r="AL700" s="74"/>
      <c r="AM700" s="74"/>
      <c r="AN700" s="74"/>
      <c r="AO700" s="74"/>
      <c r="AP700" s="74"/>
      <c r="AQ700" s="74"/>
      <c r="AR700" s="74"/>
      <c r="AS700" s="74"/>
      <c r="AT700" s="74"/>
      <c r="AU700" s="74"/>
      <c r="AV700" s="74"/>
      <c r="AW700" s="74"/>
      <c r="AX700" s="74"/>
      <c r="AY700" s="74"/>
      <c r="AZ700" s="74"/>
    </row>
    <row r="701">
      <c r="A701" s="71"/>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c r="AJ701" s="74"/>
      <c r="AK701" s="74"/>
      <c r="AL701" s="74"/>
      <c r="AM701" s="74"/>
      <c r="AN701" s="74"/>
      <c r="AO701" s="74"/>
      <c r="AP701" s="74"/>
      <c r="AQ701" s="74"/>
      <c r="AR701" s="74"/>
      <c r="AS701" s="74"/>
      <c r="AT701" s="74"/>
      <c r="AU701" s="74"/>
      <c r="AV701" s="74"/>
      <c r="AW701" s="74"/>
      <c r="AX701" s="74"/>
      <c r="AY701" s="74"/>
      <c r="AZ701" s="74"/>
    </row>
    <row r="702">
      <c r="A702" s="71"/>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c r="AJ702" s="74"/>
      <c r="AK702" s="74"/>
      <c r="AL702" s="74"/>
      <c r="AM702" s="74"/>
      <c r="AN702" s="74"/>
      <c r="AO702" s="74"/>
      <c r="AP702" s="74"/>
      <c r="AQ702" s="74"/>
      <c r="AR702" s="74"/>
      <c r="AS702" s="74"/>
      <c r="AT702" s="74"/>
      <c r="AU702" s="74"/>
      <c r="AV702" s="74"/>
      <c r="AW702" s="74"/>
      <c r="AX702" s="74"/>
      <c r="AY702" s="74"/>
      <c r="AZ702" s="74"/>
    </row>
    <row r="703">
      <c r="A703" s="71"/>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c r="AJ703" s="74"/>
      <c r="AK703" s="74"/>
      <c r="AL703" s="74"/>
      <c r="AM703" s="74"/>
      <c r="AN703" s="74"/>
      <c r="AO703" s="74"/>
      <c r="AP703" s="74"/>
      <c r="AQ703" s="74"/>
      <c r="AR703" s="74"/>
      <c r="AS703" s="74"/>
      <c r="AT703" s="74"/>
      <c r="AU703" s="74"/>
      <c r="AV703" s="74"/>
      <c r="AW703" s="74"/>
      <c r="AX703" s="74"/>
      <c r="AY703" s="74"/>
      <c r="AZ703" s="74"/>
    </row>
    <row r="704">
      <c r="A704" s="71"/>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c r="AJ704" s="74"/>
      <c r="AK704" s="74"/>
      <c r="AL704" s="74"/>
      <c r="AM704" s="74"/>
      <c r="AN704" s="74"/>
      <c r="AO704" s="74"/>
      <c r="AP704" s="74"/>
      <c r="AQ704" s="74"/>
      <c r="AR704" s="74"/>
      <c r="AS704" s="74"/>
      <c r="AT704" s="74"/>
      <c r="AU704" s="74"/>
      <c r="AV704" s="74"/>
      <c r="AW704" s="74"/>
      <c r="AX704" s="74"/>
      <c r="AY704" s="74"/>
      <c r="AZ704" s="74"/>
    </row>
    <row r="705">
      <c r="A705" s="71"/>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c r="AJ705" s="74"/>
      <c r="AK705" s="74"/>
      <c r="AL705" s="74"/>
      <c r="AM705" s="74"/>
      <c r="AN705" s="74"/>
      <c r="AO705" s="74"/>
      <c r="AP705" s="74"/>
      <c r="AQ705" s="74"/>
      <c r="AR705" s="74"/>
      <c r="AS705" s="74"/>
      <c r="AT705" s="74"/>
      <c r="AU705" s="74"/>
      <c r="AV705" s="74"/>
      <c r="AW705" s="74"/>
      <c r="AX705" s="74"/>
      <c r="AY705" s="74"/>
      <c r="AZ705" s="74"/>
    </row>
    <row r="706">
      <c r="A706" s="71"/>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c r="AJ706" s="74"/>
      <c r="AK706" s="74"/>
      <c r="AL706" s="74"/>
      <c r="AM706" s="74"/>
      <c r="AN706" s="74"/>
      <c r="AO706" s="74"/>
      <c r="AP706" s="74"/>
      <c r="AQ706" s="74"/>
      <c r="AR706" s="74"/>
      <c r="AS706" s="74"/>
      <c r="AT706" s="74"/>
      <c r="AU706" s="74"/>
      <c r="AV706" s="74"/>
      <c r="AW706" s="74"/>
      <c r="AX706" s="74"/>
      <c r="AY706" s="74"/>
      <c r="AZ706" s="74"/>
    </row>
    <row r="707">
      <c r="A707" s="71"/>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c r="AJ707" s="74"/>
      <c r="AK707" s="74"/>
      <c r="AL707" s="74"/>
      <c r="AM707" s="74"/>
      <c r="AN707" s="74"/>
      <c r="AO707" s="74"/>
      <c r="AP707" s="74"/>
      <c r="AQ707" s="74"/>
      <c r="AR707" s="74"/>
      <c r="AS707" s="74"/>
      <c r="AT707" s="74"/>
      <c r="AU707" s="74"/>
      <c r="AV707" s="74"/>
      <c r="AW707" s="74"/>
      <c r="AX707" s="74"/>
      <c r="AY707" s="74"/>
      <c r="AZ707" s="74"/>
    </row>
    <row r="708">
      <c r="A708" s="71"/>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c r="AJ708" s="74"/>
      <c r="AK708" s="74"/>
      <c r="AL708" s="74"/>
      <c r="AM708" s="74"/>
      <c r="AN708" s="74"/>
      <c r="AO708" s="74"/>
      <c r="AP708" s="74"/>
      <c r="AQ708" s="74"/>
      <c r="AR708" s="74"/>
      <c r="AS708" s="74"/>
      <c r="AT708" s="74"/>
      <c r="AU708" s="74"/>
      <c r="AV708" s="74"/>
      <c r="AW708" s="74"/>
      <c r="AX708" s="74"/>
      <c r="AY708" s="74"/>
      <c r="AZ708" s="74"/>
    </row>
    <row r="709">
      <c r="A709" s="71"/>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c r="AJ709" s="74"/>
      <c r="AK709" s="74"/>
      <c r="AL709" s="74"/>
      <c r="AM709" s="74"/>
      <c r="AN709" s="74"/>
      <c r="AO709" s="74"/>
      <c r="AP709" s="74"/>
      <c r="AQ709" s="74"/>
      <c r="AR709" s="74"/>
      <c r="AS709" s="74"/>
      <c r="AT709" s="74"/>
      <c r="AU709" s="74"/>
      <c r="AV709" s="74"/>
      <c r="AW709" s="74"/>
      <c r="AX709" s="74"/>
      <c r="AY709" s="74"/>
      <c r="AZ709" s="74"/>
    </row>
    <row r="710">
      <c r="A710" s="71"/>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c r="AJ710" s="74"/>
      <c r="AK710" s="74"/>
      <c r="AL710" s="74"/>
      <c r="AM710" s="74"/>
      <c r="AN710" s="74"/>
      <c r="AO710" s="74"/>
      <c r="AP710" s="74"/>
      <c r="AQ710" s="74"/>
      <c r="AR710" s="74"/>
      <c r="AS710" s="74"/>
      <c r="AT710" s="74"/>
      <c r="AU710" s="74"/>
      <c r="AV710" s="74"/>
      <c r="AW710" s="74"/>
      <c r="AX710" s="74"/>
      <c r="AY710" s="74"/>
      <c r="AZ710" s="74"/>
    </row>
    <row r="711">
      <c r="A711" s="71"/>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c r="AJ711" s="74"/>
      <c r="AK711" s="74"/>
      <c r="AL711" s="74"/>
      <c r="AM711" s="74"/>
      <c r="AN711" s="74"/>
      <c r="AO711" s="74"/>
      <c r="AP711" s="74"/>
      <c r="AQ711" s="74"/>
      <c r="AR711" s="74"/>
      <c r="AS711" s="74"/>
      <c r="AT711" s="74"/>
      <c r="AU711" s="74"/>
      <c r="AV711" s="74"/>
      <c r="AW711" s="74"/>
      <c r="AX711" s="74"/>
      <c r="AY711" s="74"/>
      <c r="AZ711" s="74"/>
    </row>
    <row r="712">
      <c r="A712" s="71"/>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c r="AJ712" s="74"/>
      <c r="AK712" s="74"/>
      <c r="AL712" s="74"/>
      <c r="AM712" s="74"/>
      <c r="AN712" s="74"/>
      <c r="AO712" s="74"/>
      <c r="AP712" s="74"/>
      <c r="AQ712" s="74"/>
      <c r="AR712" s="74"/>
      <c r="AS712" s="74"/>
      <c r="AT712" s="74"/>
      <c r="AU712" s="74"/>
      <c r="AV712" s="74"/>
      <c r="AW712" s="74"/>
      <c r="AX712" s="74"/>
      <c r="AY712" s="74"/>
      <c r="AZ712" s="74"/>
    </row>
    <row r="713">
      <c r="A713" s="71"/>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c r="AJ713" s="74"/>
      <c r="AK713" s="74"/>
      <c r="AL713" s="74"/>
      <c r="AM713" s="74"/>
      <c r="AN713" s="74"/>
      <c r="AO713" s="74"/>
      <c r="AP713" s="74"/>
      <c r="AQ713" s="74"/>
      <c r="AR713" s="74"/>
      <c r="AS713" s="74"/>
      <c r="AT713" s="74"/>
      <c r="AU713" s="74"/>
      <c r="AV713" s="74"/>
      <c r="AW713" s="74"/>
      <c r="AX713" s="74"/>
      <c r="AY713" s="74"/>
      <c r="AZ713" s="74"/>
    </row>
    <row r="714">
      <c r="A714" s="71"/>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c r="AJ714" s="74"/>
      <c r="AK714" s="74"/>
      <c r="AL714" s="74"/>
      <c r="AM714" s="74"/>
      <c r="AN714" s="74"/>
      <c r="AO714" s="74"/>
      <c r="AP714" s="74"/>
      <c r="AQ714" s="74"/>
      <c r="AR714" s="74"/>
      <c r="AS714" s="74"/>
      <c r="AT714" s="74"/>
      <c r="AU714" s="74"/>
      <c r="AV714" s="74"/>
      <c r="AW714" s="74"/>
      <c r="AX714" s="74"/>
      <c r="AY714" s="74"/>
      <c r="AZ714" s="74"/>
    </row>
    <row r="715">
      <c r="A715" s="71"/>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c r="AJ715" s="74"/>
      <c r="AK715" s="74"/>
      <c r="AL715" s="74"/>
      <c r="AM715" s="74"/>
      <c r="AN715" s="74"/>
      <c r="AO715" s="74"/>
      <c r="AP715" s="74"/>
      <c r="AQ715" s="74"/>
      <c r="AR715" s="74"/>
      <c r="AS715" s="74"/>
      <c r="AT715" s="74"/>
      <c r="AU715" s="74"/>
      <c r="AV715" s="74"/>
      <c r="AW715" s="74"/>
      <c r="AX715" s="74"/>
      <c r="AY715" s="74"/>
      <c r="AZ715" s="74"/>
    </row>
    <row r="716">
      <c r="A716" s="71"/>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c r="AJ716" s="74"/>
      <c r="AK716" s="74"/>
      <c r="AL716" s="74"/>
      <c r="AM716" s="74"/>
      <c r="AN716" s="74"/>
      <c r="AO716" s="74"/>
      <c r="AP716" s="74"/>
      <c r="AQ716" s="74"/>
      <c r="AR716" s="74"/>
      <c r="AS716" s="74"/>
      <c r="AT716" s="74"/>
      <c r="AU716" s="74"/>
      <c r="AV716" s="74"/>
      <c r="AW716" s="74"/>
      <c r="AX716" s="74"/>
      <c r="AY716" s="74"/>
      <c r="AZ716" s="74"/>
    </row>
    <row r="717">
      <c r="A717" s="71"/>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c r="AJ717" s="74"/>
      <c r="AK717" s="74"/>
      <c r="AL717" s="74"/>
      <c r="AM717" s="74"/>
      <c r="AN717" s="74"/>
      <c r="AO717" s="74"/>
      <c r="AP717" s="74"/>
      <c r="AQ717" s="74"/>
      <c r="AR717" s="74"/>
      <c r="AS717" s="74"/>
      <c r="AT717" s="74"/>
      <c r="AU717" s="74"/>
      <c r="AV717" s="74"/>
      <c r="AW717" s="74"/>
      <c r="AX717" s="74"/>
      <c r="AY717" s="74"/>
      <c r="AZ717" s="74"/>
    </row>
    <row r="718">
      <c r="A718" s="71"/>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c r="AJ718" s="74"/>
      <c r="AK718" s="74"/>
      <c r="AL718" s="74"/>
      <c r="AM718" s="74"/>
      <c r="AN718" s="74"/>
      <c r="AO718" s="74"/>
      <c r="AP718" s="74"/>
      <c r="AQ718" s="74"/>
      <c r="AR718" s="74"/>
      <c r="AS718" s="74"/>
      <c r="AT718" s="74"/>
      <c r="AU718" s="74"/>
      <c r="AV718" s="74"/>
      <c r="AW718" s="74"/>
      <c r="AX718" s="74"/>
      <c r="AY718" s="74"/>
      <c r="AZ718" s="74"/>
    </row>
    <row r="719">
      <c r="A719" s="71"/>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c r="AJ719" s="74"/>
      <c r="AK719" s="74"/>
      <c r="AL719" s="74"/>
      <c r="AM719" s="74"/>
      <c r="AN719" s="74"/>
      <c r="AO719" s="74"/>
      <c r="AP719" s="74"/>
      <c r="AQ719" s="74"/>
      <c r="AR719" s="74"/>
      <c r="AS719" s="74"/>
      <c r="AT719" s="74"/>
      <c r="AU719" s="74"/>
      <c r="AV719" s="74"/>
      <c r="AW719" s="74"/>
      <c r="AX719" s="74"/>
      <c r="AY719" s="74"/>
      <c r="AZ719" s="74"/>
    </row>
    <row r="720">
      <c r="A720" s="71"/>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c r="AJ720" s="74"/>
      <c r="AK720" s="74"/>
      <c r="AL720" s="74"/>
      <c r="AM720" s="74"/>
      <c r="AN720" s="74"/>
      <c r="AO720" s="74"/>
      <c r="AP720" s="74"/>
      <c r="AQ720" s="74"/>
      <c r="AR720" s="74"/>
      <c r="AS720" s="74"/>
      <c r="AT720" s="74"/>
      <c r="AU720" s="74"/>
      <c r="AV720" s="74"/>
      <c r="AW720" s="74"/>
      <c r="AX720" s="74"/>
      <c r="AY720" s="74"/>
      <c r="AZ720" s="74"/>
    </row>
    <row r="721">
      <c r="A721" s="71"/>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c r="AJ721" s="74"/>
      <c r="AK721" s="74"/>
      <c r="AL721" s="74"/>
      <c r="AM721" s="74"/>
      <c r="AN721" s="74"/>
      <c r="AO721" s="74"/>
      <c r="AP721" s="74"/>
      <c r="AQ721" s="74"/>
      <c r="AR721" s="74"/>
      <c r="AS721" s="74"/>
      <c r="AT721" s="74"/>
      <c r="AU721" s="74"/>
      <c r="AV721" s="74"/>
      <c r="AW721" s="74"/>
      <c r="AX721" s="74"/>
      <c r="AY721" s="74"/>
      <c r="AZ721" s="74"/>
    </row>
    <row r="722">
      <c r="A722" s="71"/>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c r="AJ722" s="74"/>
      <c r="AK722" s="74"/>
      <c r="AL722" s="74"/>
      <c r="AM722" s="74"/>
      <c r="AN722" s="74"/>
      <c r="AO722" s="74"/>
      <c r="AP722" s="74"/>
      <c r="AQ722" s="74"/>
      <c r="AR722" s="74"/>
      <c r="AS722" s="74"/>
      <c r="AT722" s="74"/>
      <c r="AU722" s="74"/>
      <c r="AV722" s="74"/>
      <c r="AW722" s="74"/>
      <c r="AX722" s="74"/>
      <c r="AY722" s="74"/>
      <c r="AZ722" s="74"/>
    </row>
    <row r="723">
      <c r="A723" s="71"/>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c r="AJ723" s="74"/>
      <c r="AK723" s="74"/>
      <c r="AL723" s="74"/>
      <c r="AM723" s="74"/>
      <c r="AN723" s="74"/>
      <c r="AO723" s="74"/>
      <c r="AP723" s="74"/>
      <c r="AQ723" s="74"/>
      <c r="AR723" s="74"/>
      <c r="AS723" s="74"/>
      <c r="AT723" s="74"/>
      <c r="AU723" s="74"/>
      <c r="AV723" s="74"/>
      <c r="AW723" s="74"/>
      <c r="AX723" s="74"/>
      <c r="AY723" s="74"/>
      <c r="AZ723" s="74"/>
    </row>
    <row r="724">
      <c r="A724" s="71"/>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c r="AJ724" s="74"/>
      <c r="AK724" s="74"/>
      <c r="AL724" s="74"/>
      <c r="AM724" s="74"/>
      <c r="AN724" s="74"/>
      <c r="AO724" s="74"/>
      <c r="AP724" s="74"/>
      <c r="AQ724" s="74"/>
      <c r="AR724" s="74"/>
      <c r="AS724" s="74"/>
      <c r="AT724" s="74"/>
      <c r="AU724" s="74"/>
      <c r="AV724" s="74"/>
      <c r="AW724" s="74"/>
      <c r="AX724" s="74"/>
      <c r="AY724" s="74"/>
      <c r="AZ724" s="74"/>
    </row>
    <row r="725">
      <c r="A725" s="71"/>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c r="AM725" s="74"/>
      <c r="AN725" s="74"/>
      <c r="AO725" s="74"/>
      <c r="AP725" s="74"/>
      <c r="AQ725" s="74"/>
      <c r="AR725" s="74"/>
      <c r="AS725" s="74"/>
      <c r="AT725" s="74"/>
      <c r="AU725" s="74"/>
      <c r="AV725" s="74"/>
      <c r="AW725" s="74"/>
      <c r="AX725" s="74"/>
      <c r="AY725" s="74"/>
      <c r="AZ725" s="74"/>
    </row>
    <row r="726">
      <c r="A726" s="71"/>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c r="AJ726" s="74"/>
      <c r="AK726" s="74"/>
      <c r="AL726" s="74"/>
      <c r="AM726" s="74"/>
      <c r="AN726" s="74"/>
      <c r="AO726" s="74"/>
      <c r="AP726" s="74"/>
      <c r="AQ726" s="74"/>
      <c r="AR726" s="74"/>
      <c r="AS726" s="74"/>
      <c r="AT726" s="74"/>
      <c r="AU726" s="74"/>
      <c r="AV726" s="74"/>
      <c r="AW726" s="74"/>
      <c r="AX726" s="74"/>
      <c r="AY726" s="74"/>
      <c r="AZ726" s="74"/>
    </row>
    <row r="727">
      <c r="A727" s="71"/>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c r="AJ727" s="74"/>
      <c r="AK727" s="74"/>
      <c r="AL727" s="74"/>
      <c r="AM727" s="74"/>
      <c r="AN727" s="74"/>
      <c r="AO727" s="74"/>
      <c r="AP727" s="74"/>
      <c r="AQ727" s="74"/>
      <c r="AR727" s="74"/>
      <c r="AS727" s="74"/>
      <c r="AT727" s="74"/>
      <c r="AU727" s="74"/>
      <c r="AV727" s="74"/>
      <c r="AW727" s="74"/>
      <c r="AX727" s="74"/>
      <c r="AY727" s="74"/>
      <c r="AZ727" s="74"/>
    </row>
    <row r="728">
      <c r="A728" s="71"/>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c r="AJ728" s="74"/>
      <c r="AK728" s="74"/>
      <c r="AL728" s="74"/>
      <c r="AM728" s="74"/>
      <c r="AN728" s="74"/>
      <c r="AO728" s="74"/>
      <c r="AP728" s="74"/>
      <c r="AQ728" s="74"/>
      <c r="AR728" s="74"/>
      <c r="AS728" s="74"/>
      <c r="AT728" s="74"/>
      <c r="AU728" s="74"/>
      <c r="AV728" s="74"/>
      <c r="AW728" s="74"/>
      <c r="AX728" s="74"/>
      <c r="AY728" s="74"/>
      <c r="AZ728" s="74"/>
    </row>
    <row r="729">
      <c r="A729" s="71"/>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c r="AJ729" s="74"/>
      <c r="AK729" s="74"/>
      <c r="AL729" s="74"/>
      <c r="AM729" s="74"/>
      <c r="AN729" s="74"/>
      <c r="AO729" s="74"/>
      <c r="AP729" s="74"/>
      <c r="AQ729" s="74"/>
      <c r="AR729" s="74"/>
      <c r="AS729" s="74"/>
      <c r="AT729" s="74"/>
      <c r="AU729" s="74"/>
      <c r="AV729" s="74"/>
      <c r="AW729" s="74"/>
      <c r="AX729" s="74"/>
      <c r="AY729" s="74"/>
      <c r="AZ729" s="74"/>
    </row>
    <row r="730">
      <c r="A730" s="71"/>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c r="AJ730" s="74"/>
      <c r="AK730" s="74"/>
      <c r="AL730" s="74"/>
      <c r="AM730" s="74"/>
      <c r="AN730" s="74"/>
      <c r="AO730" s="74"/>
      <c r="AP730" s="74"/>
      <c r="AQ730" s="74"/>
      <c r="AR730" s="74"/>
      <c r="AS730" s="74"/>
      <c r="AT730" s="74"/>
      <c r="AU730" s="74"/>
      <c r="AV730" s="74"/>
      <c r="AW730" s="74"/>
      <c r="AX730" s="74"/>
      <c r="AY730" s="74"/>
      <c r="AZ730" s="74"/>
    </row>
    <row r="731">
      <c r="A731" s="71"/>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c r="AJ731" s="74"/>
      <c r="AK731" s="74"/>
      <c r="AL731" s="74"/>
      <c r="AM731" s="74"/>
      <c r="AN731" s="74"/>
      <c r="AO731" s="74"/>
      <c r="AP731" s="74"/>
      <c r="AQ731" s="74"/>
      <c r="AR731" s="74"/>
      <c r="AS731" s="74"/>
      <c r="AT731" s="74"/>
      <c r="AU731" s="74"/>
      <c r="AV731" s="74"/>
      <c r="AW731" s="74"/>
      <c r="AX731" s="74"/>
      <c r="AY731" s="74"/>
      <c r="AZ731" s="74"/>
    </row>
    <row r="732">
      <c r="A732" s="71"/>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c r="AJ732" s="74"/>
      <c r="AK732" s="74"/>
      <c r="AL732" s="74"/>
      <c r="AM732" s="74"/>
      <c r="AN732" s="74"/>
      <c r="AO732" s="74"/>
      <c r="AP732" s="74"/>
      <c r="AQ732" s="74"/>
      <c r="AR732" s="74"/>
      <c r="AS732" s="74"/>
      <c r="AT732" s="74"/>
      <c r="AU732" s="74"/>
      <c r="AV732" s="74"/>
      <c r="AW732" s="74"/>
      <c r="AX732" s="74"/>
      <c r="AY732" s="74"/>
      <c r="AZ732" s="74"/>
    </row>
    <row r="733">
      <c r="A733" s="71"/>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c r="AJ733" s="74"/>
      <c r="AK733" s="74"/>
      <c r="AL733" s="74"/>
      <c r="AM733" s="74"/>
      <c r="AN733" s="74"/>
      <c r="AO733" s="74"/>
      <c r="AP733" s="74"/>
      <c r="AQ733" s="74"/>
      <c r="AR733" s="74"/>
      <c r="AS733" s="74"/>
      <c r="AT733" s="74"/>
      <c r="AU733" s="74"/>
      <c r="AV733" s="74"/>
      <c r="AW733" s="74"/>
      <c r="AX733" s="74"/>
      <c r="AY733" s="74"/>
      <c r="AZ733" s="74"/>
    </row>
    <row r="734">
      <c r="A734" s="71"/>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c r="AJ734" s="74"/>
      <c r="AK734" s="74"/>
      <c r="AL734" s="74"/>
      <c r="AM734" s="74"/>
      <c r="AN734" s="74"/>
      <c r="AO734" s="74"/>
      <c r="AP734" s="74"/>
      <c r="AQ734" s="74"/>
      <c r="AR734" s="74"/>
      <c r="AS734" s="74"/>
      <c r="AT734" s="74"/>
      <c r="AU734" s="74"/>
      <c r="AV734" s="74"/>
      <c r="AW734" s="74"/>
      <c r="AX734" s="74"/>
      <c r="AY734" s="74"/>
      <c r="AZ734" s="74"/>
    </row>
    <row r="735">
      <c r="A735" s="71"/>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c r="AJ735" s="74"/>
      <c r="AK735" s="74"/>
      <c r="AL735" s="74"/>
      <c r="AM735" s="74"/>
      <c r="AN735" s="74"/>
      <c r="AO735" s="74"/>
      <c r="AP735" s="74"/>
      <c r="AQ735" s="74"/>
      <c r="AR735" s="74"/>
      <c r="AS735" s="74"/>
      <c r="AT735" s="74"/>
      <c r="AU735" s="74"/>
      <c r="AV735" s="74"/>
      <c r="AW735" s="74"/>
      <c r="AX735" s="74"/>
      <c r="AY735" s="74"/>
      <c r="AZ735" s="74"/>
    </row>
    <row r="736">
      <c r="A736" s="71"/>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c r="AJ736" s="74"/>
      <c r="AK736" s="74"/>
      <c r="AL736" s="74"/>
      <c r="AM736" s="74"/>
      <c r="AN736" s="74"/>
      <c r="AO736" s="74"/>
      <c r="AP736" s="74"/>
      <c r="AQ736" s="74"/>
      <c r="AR736" s="74"/>
      <c r="AS736" s="74"/>
      <c r="AT736" s="74"/>
      <c r="AU736" s="74"/>
      <c r="AV736" s="74"/>
      <c r="AW736" s="74"/>
      <c r="AX736" s="74"/>
      <c r="AY736" s="74"/>
      <c r="AZ736" s="74"/>
    </row>
    <row r="737">
      <c r="A737" s="71"/>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c r="AM737" s="74"/>
      <c r="AN737" s="74"/>
      <c r="AO737" s="74"/>
      <c r="AP737" s="74"/>
      <c r="AQ737" s="74"/>
      <c r="AR737" s="74"/>
      <c r="AS737" s="74"/>
      <c r="AT737" s="74"/>
      <c r="AU737" s="74"/>
      <c r="AV737" s="74"/>
      <c r="AW737" s="74"/>
      <c r="AX737" s="74"/>
      <c r="AY737" s="74"/>
      <c r="AZ737" s="74"/>
    </row>
    <row r="738">
      <c r="A738" s="71"/>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c r="AM738" s="74"/>
      <c r="AN738" s="74"/>
      <c r="AO738" s="74"/>
      <c r="AP738" s="74"/>
      <c r="AQ738" s="74"/>
      <c r="AR738" s="74"/>
      <c r="AS738" s="74"/>
      <c r="AT738" s="74"/>
      <c r="AU738" s="74"/>
      <c r="AV738" s="74"/>
      <c r="AW738" s="74"/>
      <c r="AX738" s="74"/>
      <c r="AY738" s="74"/>
      <c r="AZ738" s="74"/>
    </row>
    <row r="739">
      <c r="A739" s="71"/>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74"/>
      <c r="AQ739" s="74"/>
      <c r="AR739" s="74"/>
      <c r="AS739" s="74"/>
      <c r="AT739" s="74"/>
      <c r="AU739" s="74"/>
      <c r="AV739" s="74"/>
      <c r="AW739" s="74"/>
      <c r="AX739" s="74"/>
      <c r="AY739" s="74"/>
      <c r="AZ739" s="74"/>
    </row>
    <row r="740">
      <c r="A740" s="71"/>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c r="AJ740" s="74"/>
      <c r="AK740" s="74"/>
      <c r="AL740" s="74"/>
      <c r="AM740" s="74"/>
      <c r="AN740" s="74"/>
      <c r="AO740" s="74"/>
      <c r="AP740" s="74"/>
      <c r="AQ740" s="74"/>
      <c r="AR740" s="74"/>
      <c r="AS740" s="74"/>
      <c r="AT740" s="74"/>
      <c r="AU740" s="74"/>
      <c r="AV740" s="74"/>
      <c r="AW740" s="74"/>
      <c r="AX740" s="74"/>
      <c r="AY740" s="74"/>
      <c r="AZ740" s="74"/>
    </row>
    <row r="741">
      <c r="A741" s="71"/>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c r="AJ741" s="74"/>
      <c r="AK741" s="74"/>
      <c r="AL741" s="74"/>
      <c r="AM741" s="74"/>
      <c r="AN741" s="74"/>
      <c r="AO741" s="74"/>
      <c r="AP741" s="74"/>
      <c r="AQ741" s="74"/>
      <c r="AR741" s="74"/>
      <c r="AS741" s="74"/>
      <c r="AT741" s="74"/>
      <c r="AU741" s="74"/>
      <c r="AV741" s="74"/>
      <c r="AW741" s="74"/>
      <c r="AX741" s="74"/>
      <c r="AY741" s="74"/>
      <c r="AZ741" s="74"/>
    </row>
    <row r="742">
      <c r="A742" s="71"/>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c r="AJ742" s="74"/>
      <c r="AK742" s="74"/>
      <c r="AL742" s="74"/>
      <c r="AM742" s="74"/>
      <c r="AN742" s="74"/>
      <c r="AO742" s="74"/>
      <c r="AP742" s="74"/>
      <c r="AQ742" s="74"/>
      <c r="AR742" s="74"/>
      <c r="AS742" s="74"/>
      <c r="AT742" s="74"/>
      <c r="AU742" s="74"/>
      <c r="AV742" s="74"/>
      <c r="AW742" s="74"/>
      <c r="AX742" s="74"/>
      <c r="AY742" s="74"/>
      <c r="AZ742" s="74"/>
    </row>
    <row r="743">
      <c r="A743" s="71"/>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c r="AJ743" s="74"/>
      <c r="AK743" s="74"/>
      <c r="AL743" s="74"/>
      <c r="AM743" s="74"/>
      <c r="AN743" s="74"/>
      <c r="AO743" s="74"/>
      <c r="AP743" s="74"/>
      <c r="AQ743" s="74"/>
      <c r="AR743" s="74"/>
      <c r="AS743" s="74"/>
      <c r="AT743" s="74"/>
      <c r="AU743" s="74"/>
      <c r="AV743" s="74"/>
      <c r="AW743" s="74"/>
      <c r="AX743" s="74"/>
      <c r="AY743" s="74"/>
      <c r="AZ743" s="74"/>
    </row>
    <row r="744">
      <c r="A744" s="71"/>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c r="AJ744" s="74"/>
      <c r="AK744" s="74"/>
      <c r="AL744" s="74"/>
      <c r="AM744" s="74"/>
      <c r="AN744" s="74"/>
      <c r="AO744" s="74"/>
      <c r="AP744" s="74"/>
      <c r="AQ744" s="74"/>
      <c r="AR744" s="74"/>
      <c r="AS744" s="74"/>
      <c r="AT744" s="74"/>
      <c r="AU744" s="74"/>
      <c r="AV744" s="74"/>
      <c r="AW744" s="74"/>
      <c r="AX744" s="74"/>
      <c r="AY744" s="74"/>
      <c r="AZ744" s="74"/>
    </row>
    <row r="745">
      <c r="A745" s="71"/>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c r="AJ745" s="74"/>
      <c r="AK745" s="74"/>
      <c r="AL745" s="74"/>
      <c r="AM745" s="74"/>
      <c r="AN745" s="74"/>
      <c r="AO745" s="74"/>
      <c r="AP745" s="74"/>
      <c r="AQ745" s="74"/>
      <c r="AR745" s="74"/>
      <c r="AS745" s="74"/>
      <c r="AT745" s="74"/>
      <c r="AU745" s="74"/>
      <c r="AV745" s="74"/>
      <c r="AW745" s="74"/>
      <c r="AX745" s="74"/>
      <c r="AY745" s="74"/>
      <c r="AZ745" s="74"/>
    </row>
    <row r="746">
      <c r="A746" s="71"/>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c r="AJ746" s="74"/>
      <c r="AK746" s="74"/>
      <c r="AL746" s="74"/>
      <c r="AM746" s="74"/>
      <c r="AN746" s="74"/>
      <c r="AO746" s="74"/>
      <c r="AP746" s="74"/>
      <c r="AQ746" s="74"/>
      <c r="AR746" s="74"/>
      <c r="AS746" s="74"/>
      <c r="AT746" s="74"/>
      <c r="AU746" s="74"/>
      <c r="AV746" s="74"/>
      <c r="AW746" s="74"/>
      <c r="AX746" s="74"/>
      <c r="AY746" s="74"/>
      <c r="AZ746" s="74"/>
    </row>
    <row r="747">
      <c r="A747" s="71"/>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c r="AJ747" s="74"/>
      <c r="AK747" s="74"/>
      <c r="AL747" s="74"/>
      <c r="AM747" s="74"/>
      <c r="AN747" s="74"/>
      <c r="AO747" s="74"/>
      <c r="AP747" s="74"/>
      <c r="AQ747" s="74"/>
      <c r="AR747" s="74"/>
      <c r="AS747" s="74"/>
      <c r="AT747" s="74"/>
      <c r="AU747" s="74"/>
      <c r="AV747" s="74"/>
      <c r="AW747" s="74"/>
      <c r="AX747" s="74"/>
      <c r="AY747" s="74"/>
      <c r="AZ747" s="74"/>
    </row>
    <row r="748">
      <c r="A748" s="71"/>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c r="AM748" s="74"/>
      <c r="AN748" s="74"/>
      <c r="AO748" s="74"/>
      <c r="AP748" s="74"/>
      <c r="AQ748" s="74"/>
      <c r="AR748" s="74"/>
      <c r="AS748" s="74"/>
      <c r="AT748" s="74"/>
      <c r="AU748" s="74"/>
      <c r="AV748" s="74"/>
      <c r="AW748" s="74"/>
      <c r="AX748" s="74"/>
      <c r="AY748" s="74"/>
      <c r="AZ748" s="74"/>
    </row>
    <row r="749">
      <c r="A749" s="71"/>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c r="AJ749" s="74"/>
      <c r="AK749" s="74"/>
      <c r="AL749" s="74"/>
      <c r="AM749" s="74"/>
      <c r="AN749" s="74"/>
      <c r="AO749" s="74"/>
      <c r="AP749" s="74"/>
      <c r="AQ749" s="74"/>
      <c r="AR749" s="74"/>
      <c r="AS749" s="74"/>
      <c r="AT749" s="74"/>
      <c r="AU749" s="74"/>
      <c r="AV749" s="74"/>
      <c r="AW749" s="74"/>
      <c r="AX749" s="74"/>
      <c r="AY749" s="74"/>
      <c r="AZ749" s="74"/>
    </row>
    <row r="750">
      <c r="A750" s="71"/>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c r="AJ750" s="74"/>
      <c r="AK750" s="74"/>
      <c r="AL750" s="74"/>
      <c r="AM750" s="74"/>
      <c r="AN750" s="74"/>
      <c r="AO750" s="74"/>
      <c r="AP750" s="74"/>
      <c r="AQ750" s="74"/>
      <c r="AR750" s="74"/>
      <c r="AS750" s="74"/>
      <c r="AT750" s="74"/>
      <c r="AU750" s="74"/>
      <c r="AV750" s="74"/>
      <c r="AW750" s="74"/>
      <c r="AX750" s="74"/>
      <c r="AY750" s="74"/>
      <c r="AZ750" s="74"/>
    </row>
    <row r="751">
      <c r="A751" s="71"/>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c r="AJ751" s="74"/>
      <c r="AK751" s="74"/>
      <c r="AL751" s="74"/>
      <c r="AM751" s="74"/>
      <c r="AN751" s="74"/>
      <c r="AO751" s="74"/>
      <c r="AP751" s="74"/>
      <c r="AQ751" s="74"/>
      <c r="AR751" s="74"/>
      <c r="AS751" s="74"/>
      <c r="AT751" s="74"/>
      <c r="AU751" s="74"/>
      <c r="AV751" s="74"/>
      <c r="AW751" s="74"/>
      <c r="AX751" s="74"/>
      <c r="AY751" s="74"/>
      <c r="AZ751" s="74"/>
    </row>
    <row r="752">
      <c r="A752" s="71"/>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c r="AJ752" s="74"/>
      <c r="AK752" s="74"/>
      <c r="AL752" s="74"/>
      <c r="AM752" s="74"/>
      <c r="AN752" s="74"/>
      <c r="AO752" s="74"/>
      <c r="AP752" s="74"/>
      <c r="AQ752" s="74"/>
      <c r="AR752" s="74"/>
      <c r="AS752" s="74"/>
      <c r="AT752" s="74"/>
      <c r="AU752" s="74"/>
      <c r="AV752" s="74"/>
      <c r="AW752" s="74"/>
      <c r="AX752" s="74"/>
      <c r="AY752" s="74"/>
      <c r="AZ752" s="74"/>
    </row>
    <row r="753">
      <c r="A753" s="71"/>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c r="AJ753" s="74"/>
      <c r="AK753" s="74"/>
      <c r="AL753" s="74"/>
      <c r="AM753" s="74"/>
      <c r="AN753" s="74"/>
      <c r="AO753" s="74"/>
      <c r="AP753" s="74"/>
      <c r="AQ753" s="74"/>
      <c r="AR753" s="74"/>
      <c r="AS753" s="74"/>
      <c r="AT753" s="74"/>
      <c r="AU753" s="74"/>
      <c r="AV753" s="74"/>
      <c r="AW753" s="74"/>
      <c r="AX753" s="74"/>
      <c r="AY753" s="74"/>
      <c r="AZ753" s="74"/>
    </row>
    <row r="754">
      <c r="A754" s="71"/>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c r="AM754" s="74"/>
      <c r="AN754" s="74"/>
      <c r="AO754" s="74"/>
      <c r="AP754" s="74"/>
      <c r="AQ754" s="74"/>
      <c r="AR754" s="74"/>
      <c r="AS754" s="74"/>
      <c r="AT754" s="74"/>
      <c r="AU754" s="74"/>
      <c r="AV754" s="74"/>
      <c r="AW754" s="74"/>
      <c r="AX754" s="74"/>
      <c r="AY754" s="74"/>
      <c r="AZ754" s="74"/>
    </row>
    <row r="755">
      <c r="A755" s="71"/>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c r="AM755" s="74"/>
      <c r="AN755" s="74"/>
      <c r="AO755" s="74"/>
      <c r="AP755" s="74"/>
      <c r="AQ755" s="74"/>
      <c r="AR755" s="74"/>
      <c r="AS755" s="74"/>
      <c r="AT755" s="74"/>
      <c r="AU755" s="74"/>
      <c r="AV755" s="74"/>
      <c r="AW755" s="74"/>
      <c r="AX755" s="74"/>
      <c r="AY755" s="74"/>
      <c r="AZ755" s="74"/>
    </row>
    <row r="756">
      <c r="A756" s="71"/>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c r="AM756" s="74"/>
      <c r="AN756" s="74"/>
      <c r="AO756" s="74"/>
      <c r="AP756" s="74"/>
      <c r="AQ756" s="74"/>
      <c r="AR756" s="74"/>
      <c r="AS756" s="74"/>
      <c r="AT756" s="74"/>
      <c r="AU756" s="74"/>
      <c r="AV756" s="74"/>
      <c r="AW756" s="74"/>
      <c r="AX756" s="74"/>
      <c r="AY756" s="74"/>
      <c r="AZ756" s="74"/>
    </row>
    <row r="757">
      <c r="A757" s="71"/>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c r="AJ757" s="74"/>
      <c r="AK757" s="74"/>
      <c r="AL757" s="74"/>
      <c r="AM757" s="74"/>
      <c r="AN757" s="74"/>
      <c r="AO757" s="74"/>
      <c r="AP757" s="74"/>
      <c r="AQ757" s="74"/>
      <c r="AR757" s="74"/>
      <c r="AS757" s="74"/>
      <c r="AT757" s="74"/>
      <c r="AU757" s="74"/>
      <c r="AV757" s="74"/>
      <c r="AW757" s="74"/>
      <c r="AX757" s="74"/>
      <c r="AY757" s="74"/>
      <c r="AZ757" s="74"/>
    </row>
    <row r="758">
      <c r="A758" s="71"/>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c r="AJ758" s="74"/>
      <c r="AK758" s="74"/>
      <c r="AL758" s="74"/>
      <c r="AM758" s="74"/>
      <c r="AN758" s="74"/>
      <c r="AO758" s="74"/>
      <c r="AP758" s="74"/>
      <c r="AQ758" s="74"/>
      <c r="AR758" s="74"/>
      <c r="AS758" s="74"/>
      <c r="AT758" s="74"/>
      <c r="AU758" s="74"/>
      <c r="AV758" s="74"/>
      <c r="AW758" s="74"/>
      <c r="AX758" s="74"/>
      <c r="AY758" s="74"/>
      <c r="AZ758" s="74"/>
    </row>
    <row r="759">
      <c r="A759" s="71"/>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c r="AJ759" s="74"/>
      <c r="AK759" s="74"/>
      <c r="AL759" s="74"/>
      <c r="AM759" s="74"/>
      <c r="AN759" s="74"/>
      <c r="AO759" s="74"/>
      <c r="AP759" s="74"/>
      <c r="AQ759" s="74"/>
      <c r="AR759" s="74"/>
      <c r="AS759" s="74"/>
      <c r="AT759" s="74"/>
      <c r="AU759" s="74"/>
      <c r="AV759" s="74"/>
      <c r="AW759" s="74"/>
      <c r="AX759" s="74"/>
      <c r="AY759" s="74"/>
      <c r="AZ759" s="74"/>
    </row>
    <row r="760">
      <c r="A760" s="71"/>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c r="AJ760" s="74"/>
      <c r="AK760" s="74"/>
      <c r="AL760" s="74"/>
      <c r="AM760" s="74"/>
      <c r="AN760" s="74"/>
      <c r="AO760" s="74"/>
      <c r="AP760" s="74"/>
      <c r="AQ760" s="74"/>
      <c r="AR760" s="74"/>
      <c r="AS760" s="74"/>
      <c r="AT760" s="74"/>
      <c r="AU760" s="74"/>
      <c r="AV760" s="74"/>
      <c r="AW760" s="74"/>
      <c r="AX760" s="74"/>
      <c r="AY760" s="74"/>
      <c r="AZ760" s="74"/>
    </row>
    <row r="761">
      <c r="A761" s="71"/>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c r="AJ761" s="74"/>
      <c r="AK761" s="74"/>
      <c r="AL761" s="74"/>
      <c r="AM761" s="74"/>
      <c r="AN761" s="74"/>
      <c r="AO761" s="74"/>
      <c r="AP761" s="74"/>
      <c r="AQ761" s="74"/>
      <c r="AR761" s="74"/>
      <c r="AS761" s="74"/>
      <c r="AT761" s="74"/>
      <c r="AU761" s="74"/>
      <c r="AV761" s="74"/>
      <c r="AW761" s="74"/>
      <c r="AX761" s="74"/>
      <c r="AY761" s="74"/>
      <c r="AZ761" s="74"/>
    </row>
    <row r="762">
      <c r="A762" s="71"/>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c r="AM762" s="74"/>
      <c r="AN762" s="74"/>
      <c r="AO762" s="74"/>
      <c r="AP762" s="74"/>
      <c r="AQ762" s="74"/>
      <c r="AR762" s="74"/>
      <c r="AS762" s="74"/>
      <c r="AT762" s="74"/>
      <c r="AU762" s="74"/>
      <c r="AV762" s="74"/>
      <c r="AW762" s="74"/>
      <c r="AX762" s="74"/>
      <c r="AY762" s="74"/>
      <c r="AZ762" s="74"/>
    </row>
    <row r="763">
      <c r="A763" s="71"/>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c r="AM763" s="74"/>
      <c r="AN763" s="74"/>
      <c r="AO763" s="74"/>
      <c r="AP763" s="74"/>
      <c r="AQ763" s="74"/>
      <c r="AR763" s="74"/>
      <c r="AS763" s="74"/>
      <c r="AT763" s="74"/>
      <c r="AU763" s="74"/>
      <c r="AV763" s="74"/>
      <c r="AW763" s="74"/>
      <c r="AX763" s="74"/>
      <c r="AY763" s="74"/>
      <c r="AZ763" s="74"/>
    </row>
    <row r="764">
      <c r="A764" s="71"/>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c r="AJ764" s="74"/>
      <c r="AK764" s="74"/>
      <c r="AL764" s="74"/>
      <c r="AM764" s="74"/>
      <c r="AN764" s="74"/>
      <c r="AO764" s="74"/>
      <c r="AP764" s="74"/>
      <c r="AQ764" s="74"/>
      <c r="AR764" s="74"/>
      <c r="AS764" s="74"/>
      <c r="AT764" s="74"/>
      <c r="AU764" s="74"/>
      <c r="AV764" s="74"/>
      <c r="AW764" s="74"/>
      <c r="AX764" s="74"/>
      <c r="AY764" s="74"/>
      <c r="AZ764" s="74"/>
    </row>
    <row r="765">
      <c r="A765" s="71"/>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c r="AJ765" s="74"/>
      <c r="AK765" s="74"/>
      <c r="AL765" s="74"/>
      <c r="AM765" s="74"/>
      <c r="AN765" s="74"/>
      <c r="AO765" s="74"/>
      <c r="AP765" s="74"/>
      <c r="AQ765" s="74"/>
      <c r="AR765" s="74"/>
      <c r="AS765" s="74"/>
      <c r="AT765" s="74"/>
      <c r="AU765" s="74"/>
      <c r="AV765" s="74"/>
      <c r="AW765" s="74"/>
      <c r="AX765" s="74"/>
      <c r="AY765" s="74"/>
      <c r="AZ765" s="74"/>
    </row>
    <row r="766">
      <c r="A766" s="71"/>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c r="AM766" s="74"/>
      <c r="AN766" s="74"/>
      <c r="AO766" s="74"/>
      <c r="AP766" s="74"/>
      <c r="AQ766" s="74"/>
      <c r="AR766" s="74"/>
      <c r="AS766" s="74"/>
      <c r="AT766" s="74"/>
      <c r="AU766" s="74"/>
      <c r="AV766" s="74"/>
      <c r="AW766" s="74"/>
      <c r="AX766" s="74"/>
      <c r="AY766" s="74"/>
      <c r="AZ766" s="74"/>
    </row>
    <row r="767">
      <c r="A767" s="71"/>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c r="AM767" s="74"/>
      <c r="AN767" s="74"/>
      <c r="AO767" s="74"/>
      <c r="AP767" s="74"/>
      <c r="AQ767" s="74"/>
      <c r="AR767" s="74"/>
      <c r="AS767" s="74"/>
      <c r="AT767" s="74"/>
      <c r="AU767" s="74"/>
      <c r="AV767" s="74"/>
      <c r="AW767" s="74"/>
      <c r="AX767" s="74"/>
      <c r="AY767" s="74"/>
      <c r="AZ767" s="74"/>
    </row>
    <row r="768">
      <c r="A768" s="71"/>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c r="AM768" s="74"/>
      <c r="AN768" s="74"/>
      <c r="AO768" s="74"/>
      <c r="AP768" s="74"/>
      <c r="AQ768" s="74"/>
      <c r="AR768" s="74"/>
      <c r="AS768" s="74"/>
      <c r="AT768" s="74"/>
      <c r="AU768" s="74"/>
      <c r="AV768" s="74"/>
      <c r="AW768" s="74"/>
      <c r="AX768" s="74"/>
      <c r="AY768" s="74"/>
      <c r="AZ768" s="74"/>
    </row>
    <row r="769">
      <c r="A769" s="71"/>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c r="AM769" s="74"/>
      <c r="AN769" s="74"/>
      <c r="AO769" s="74"/>
      <c r="AP769" s="74"/>
      <c r="AQ769" s="74"/>
      <c r="AR769" s="74"/>
      <c r="AS769" s="74"/>
      <c r="AT769" s="74"/>
      <c r="AU769" s="74"/>
      <c r="AV769" s="74"/>
      <c r="AW769" s="74"/>
      <c r="AX769" s="74"/>
      <c r="AY769" s="74"/>
      <c r="AZ769" s="74"/>
    </row>
    <row r="770">
      <c r="A770" s="71"/>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c r="AJ770" s="74"/>
      <c r="AK770" s="74"/>
      <c r="AL770" s="74"/>
      <c r="AM770" s="74"/>
      <c r="AN770" s="74"/>
      <c r="AO770" s="74"/>
      <c r="AP770" s="74"/>
      <c r="AQ770" s="74"/>
      <c r="AR770" s="74"/>
      <c r="AS770" s="74"/>
      <c r="AT770" s="74"/>
      <c r="AU770" s="74"/>
      <c r="AV770" s="74"/>
      <c r="AW770" s="74"/>
      <c r="AX770" s="74"/>
      <c r="AY770" s="74"/>
      <c r="AZ770" s="74"/>
    </row>
    <row r="771">
      <c r="A771" s="71"/>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c r="AJ771" s="74"/>
      <c r="AK771" s="74"/>
      <c r="AL771" s="74"/>
      <c r="AM771" s="74"/>
      <c r="AN771" s="74"/>
      <c r="AO771" s="74"/>
      <c r="AP771" s="74"/>
      <c r="AQ771" s="74"/>
      <c r="AR771" s="74"/>
      <c r="AS771" s="74"/>
      <c r="AT771" s="74"/>
      <c r="AU771" s="74"/>
      <c r="AV771" s="74"/>
      <c r="AW771" s="74"/>
      <c r="AX771" s="74"/>
      <c r="AY771" s="74"/>
      <c r="AZ771" s="74"/>
    </row>
    <row r="772">
      <c r="A772" s="71"/>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74"/>
      <c r="AU772" s="74"/>
      <c r="AV772" s="74"/>
      <c r="AW772" s="74"/>
      <c r="AX772" s="74"/>
      <c r="AY772" s="74"/>
      <c r="AZ772" s="74"/>
    </row>
    <row r="773">
      <c r="A773" s="71"/>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c r="AM773" s="74"/>
      <c r="AN773" s="74"/>
      <c r="AO773" s="74"/>
      <c r="AP773" s="74"/>
      <c r="AQ773" s="74"/>
      <c r="AR773" s="74"/>
      <c r="AS773" s="74"/>
      <c r="AT773" s="74"/>
      <c r="AU773" s="74"/>
      <c r="AV773" s="74"/>
      <c r="AW773" s="74"/>
      <c r="AX773" s="74"/>
      <c r="AY773" s="74"/>
      <c r="AZ773" s="74"/>
    </row>
    <row r="774">
      <c r="A774" s="71"/>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c r="AJ774" s="74"/>
      <c r="AK774" s="74"/>
      <c r="AL774" s="74"/>
      <c r="AM774" s="74"/>
      <c r="AN774" s="74"/>
      <c r="AO774" s="74"/>
      <c r="AP774" s="74"/>
      <c r="AQ774" s="74"/>
      <c r="AR774" s="74"/>
      <c r="AS774" s="74"/>
      <c r="AT774" s="74"/>
      <c r="AU774" s="74"/>
      <c r="AV774" s="74"/>
      <c r="AW774" s="74"/>
      <c r="AX774" s="74"/>
      <c r="AY774" s="74"/>
      <c r="AZ774" s="74"/>
    </row>
    <row r="775">
      <c r="A775" s="71"/>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c r="AJ775" s="74"/>
      <c r="AK775" s="74"/>
      <c r="AL775" s="74"/>
      <c r="AM775" s="74"/>
      <c r="AN775" s="74"/>
      <c r="AO775" s="74"/>
      <c r="AP775" s="74"/>
      <c r="AQ775" s="74"/>
      <c r="AR775" s="74"/>
      <c r="AS775" s="74"/>
      <c r="AT775" s="74"/>
      <c r="AU775" s="74"/>
      <c r="AV775" s="74"/>
      <c r="AW775" s="74"/>
      <c r="AX775" s="74"/>
      <c r="AY775" s="74"/>
      <c r="AZ775" s="74"/>
    </row>
    <row r="776">
      <c r="A776" s="71"/>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c r="AJ776" s="74"/>
      <c r="AK776" s="74"/>
      <c r="AL776" s="74"/>
      <c r="AM776" s="74"/>
      <c r="AN776" s="74"/>
      <c r="AO776" s="74"/>
      <c r="AP776" s="74"/>
      <c r="AQ776" s="74"/>
      <c r="AR776" s="74"/>
      <c r="AS776" s="74"/>
      <c r="AT776" s="74"/>
      <c r="AU776" s="74"/>
      <c r="AV776" s="74"/>
      <c r="AW776" s="74"/>
      <c r="AX776" s="74"/>
      <c r="AY776" s="74"/>
      <c r="AZ776" s="74"/>
    </row>
    <row r="777">
      <c r="A777" s="71"/>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c r="AJ777" s="74"/>
      <c r="AK777" s="74"/>
      <c r="AL777" s="74"/>
      <c r="AM777" s="74"/>
      <c r="AN777" s="74"/>
      <c r="AO777" s="74"/>
      <c r="AP777" s="74"/>
      <c r="AQ777" s="74"/>
      <c r="AR777" s="74"/>
      <c r="AS777" s="74"/>
      <c r="AT777" s="74"/>
      <c r="AU777" s="74"/>
      <c r="AV777" s="74"/>
      <c r="AW777" s="74"/>
      <c r="AX777" s="74"/>
      <c r="AY777" s="74"/>
      <c r="AZ777" s="74"/>
    </row>
    <row r="778">
      <c r="A778" s="71"/>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c r="AJ778" s="74"/>
      <c r="AK778" s="74"/>
      <c r="AL778" s="74"/>
      <c r="AM778" s="74"/>
      <c r="AN778" s="74"/>
      <c r="AO778" s="74"/>
      <c r="AP778" s="74"/>
      <c r="AQ778" s="74"/>
      <c r="AR778" s="74"/>
      <c r="AS778" s="74"/>
      <c r="AT778" s="74"/>
      <c r="AU778" s="74"/>
      <c r="AV778" s="74"/>
      <c r="AW778" s="74"/>
      <c r="AX778" s="74"/>
      <c r="AY778" s="74"/>
      <c r="AZ778" s="74"/>
    </row>
    <row r="779">
      <c r="A779" s="71"/>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74"/>
      <c r="AQ779" s="74"/>
      <c r="AR779" s="74"/>
      <c r="AS779" s="74"/>
      <c r="AT779" s="74"/>
      <c r="AU779" s="74"/>
      <c r="AV779" s="74"/>
      <c r="AW779" s="74"/>
      <c r="AX779" s="74"/>
      <c r="AY779" s="74"/>
      <c r="AZ779" s="74"/>
    </row>
    <row r="780">
      <c r="A780" s="71"/>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c r="AM780" s="74"/>
      <c r="AN780" s="74"/>
      <c r="AO780" s="74"/>
      <c r="AP780" s="74"/>
      <c r="AQ780" s="74"/>
      <c r="AR780" s="74"/>
      <c r="AS780" s="74"/>
      <c r="AT780" s="74"/>
      <c r="AU780" s="74"/>
      <c r="AV780" s="74"/>
      <c r="AW780" s="74"/>
      <c r="AX780" s="74"/>
      <c r="AY780" s="74"/>
      <c r="AZ780" s="74"/>
    </row>
    <row r="781">
      <c r="A781" s="71"/>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c r="AM781" s="74"/>
      <c r="AN781" s="74"/>
      <c r="AO781" s="74"/>
      <c r="AP781" s="74"/>
      <c r="AQ781" s="74"/>
      <c r="AR781" s="74"/>
      <c r="AS781" s="74"/>
      <c r="AT781" s="74"/>
      <c r="AU781" s="74"/>
      <c r="AV781" s="74"/>
      <c r="AW781" s="74"/>
      <c r="AX781" s="74"/>
      <c r="AY781" s="74"/>
      <c r="AZ781" s="74"/>
    </row>
    <row r="782">
      <c r="A782" s="71"/>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c r="AJ782" s="74"/>
      <c r="AK782" s="74"/>
      <c r="AL782" s="74"/>
      <c r="AM782" s="74"/>
      <c r="AN782" s="74"/>
      <c r="AO782" s="74"/>
      <c r="AP782" s="74"/>
      <c r="AQ782" s="74"/>
      <c r="AR782" s="74"/>
      <c r="AS782" s="74"/>
      <c r="AT782" s="74"/>
      <c r="AU782" s="74"/>
      <c r="AV782" s="74"/>
      <c r="AW782" s="74"/>
      <c r="AX782" s="74"/>
      <c r="AY782" s="74"/>
      <c r="AZ782" s="74"/>
    </row>
    <row r="783">
      <c r="A783" s="71"/>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c r="AM783" s="74"/>
      <c r="AN783" s="74"/>
      <c r="AO783" s="74"/>
      <c r="AP783" s="74"/>
      <c r="AQ783" s="74"/>
      <c r="AR783" s="74"/>
      <c r="AS783" s="74"/>
      <c r="AT783" s="74"/>
      <c r="AU783" s="74"/>
      <c r="AV783" s="74"/>
      <c r="AW783" s="74"/>
      <c r="AX783" s="74"/>
      <c r="AY783" s="74"/>
      <c r="AZ783" s="74"/>
    </row>
    <row r="784">
      <c r="A784" s="71"/>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c r="AJ784" s="74"/>
      <c r="AK784" s="74"/>
      <c r="AL784" s="74"/>
      <c r="AM784" s="74"/>
      <c r="AN784" s="74"/>
      <c r="AO784" s="74"/>
      <c r="AP784" s="74"/>
      <c r="AQ784" s="74"/>
      <c r="AR784" s="74"/>
      <c r="AS784" s="74"/>
      <c r="AT784" s="74"/>
      <c r="AU784" s="74"/>
      <c r="AV784" s="74"/>
      <c r="AW784" s="74"/>
      <c r="AX784" s="74"/>
      <c r="AY784" s="74"/>
      <c r="AZ784" s="74"/>
    </row>
    <row r="785">
      <c r="A785" s="71"/>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c r="AJ785" s="74"/>
      <c r="AK785" s="74"/>
      <c r="AL785" s="74"/>
      <c r="AM785" s="74"/>
      <c r="AN785" s="74"/>
      <c r="AO785" s="74"/>
      <c r="AP785" s="74"/>
      <c r="AQ785" s="74"/>
      <c r="AR785" s="74"/>
      <c r="AS785" s="74"/>
      <c r="AT785" s="74"/>
      <c r="AU785" s="74"/>
      <c r="AV785" s="74"/>
      <c r="AW785" s="74"/>
      <c r="AX785" s="74"/>
      <c r="AY785" s="74"/>
      <c r="AZ785" s="74"/>
    </row>
    <row r="786">
      <c r="A786" s="71"/>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c r="AO786" s="74"/>
      <c r="AP786" s="74"/>
      <c r="AQ786" s="74"/>
      <c r="AR786" s="74"/>
      <c r="AS786" s="74"/>
      <c r="AT786" s="74"/>
      <c r="AU786" s="74"/>
      <c r="AV786" s="74"/>
      <c r="AW786" s="74"/>
      <c r="AX786" s="74"/>
      <c r="AY786" s="74"/>
      <c r="AZ786" s="74"/>
    </row>
    <row r="787">
      <c r="A787" s="71"/>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74"/>
      <c r="AU787" s="74"/>
      <c r="AV787" s="74"/>
      <c r="AW787" s="74"/>
      <c r="AX787" s="74"/>
      <c r="AY787" s="74"/>
      <c r="AZ787" s="74"/>
    </row>
    <row r="788">
      <c r="A788" s="71"/>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c r="AJ788" s="74"/>
      <c r="AK788" s="74"/>
      <c r="AL788" s="74"/>
      <c r="AM788" s="74"/>
      <c r="AN788" s="74"/>
      <c r="AO788" s="74"/>
      <c r="AP788" s="74"/>
      <c r="AQ788" s="74"/>
      <c r="AR788" s="74"/>
      <c r="AS788" s="74"/>
      <c r="AT788" s="74"/>
      <c r="AU788" s="74"/>
      <c r="AV788" s="74"/>
      <c r="AW788" s="74"/>
      <c r="AX788" s="74"/>
      <c r="AY788" s="74"/>
      <c r="AZ788" s="74"/>
    </row>
    <row r="789">
      <c r="A789" s="71"/>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c r="AJ789" s="74"/>
      <c r="AK789" s="74"/>
      <c r="AL789" s="74"/>
      <c r="AM789" s="74"/>
      <c r="AN789" s="74"/>
      <c r="AO789" s="74"/>
      <c r="AP789" s="74"/>
      <c r="AQ789" s="74"/>
      <c r="AR789" s="74"/>
      <c r="AS789" s="74"/>
      <c r="AT789" s="74"/>
      <c r="AU789" s="74"/>
      <c r="AV789" s="74"/>
      <c r="AW789" s="74"/>
      <c r="AX789" s="74"/>
      <c r="AY789" s="74"/>
      <c r="AZ789" s="74"/>
    </row>
    <row r="790">
      <c r="A790" s="71"/>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c r="AJ790" s="74"/>
      <c r="AK790" s="74"/>
      <c r="AL790" s="74"/>
      <c r="AM790" s="74"/>
      <c r="AN790" s="74"/>
      <c r="AO790" s="74"/>
      <c r="AP790" s="74"/>
      <c r="AQ790" s="74"/>
      <c r="AR790" s="74"/>
      <c r="AS790" s="74"/>
      <c r="AT790" s="74"/>
      <c r="AU790" s="74"/>
      <c r="AV790" s="74"/>
      <c r="AW790" s="74"/>
      <c r="AX790" s="74"/>
      <c r="AY790" s="74"/>
      <c r="AZ790" s="74"/>
    </row>
    <row r="791">
      <c r="A791" s="71"/>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c r="AJ791" s="74"/>
      <c r="AK791" s="74"/>
      <c r="AL791" s="74"/>
      <c r="AM791" s="74"/>
      <c r="AN791" s="74"/>
      <c r="AO791" s="74"/>
      <c r="AP791" s="74"/>
      <c r="AQ791" s="74"/>
      <c r="AR791" s="74"/>
      <c r="AS791" s="74"/>
      <c r="AT791" s="74"/>
      <c r="AU791" s="74"/>
      <c r="AV791" s="74"/>
      <c r="AW791" s="74"/>
      <c r="AX791" s="74"/>
      <c r="AY791" s="74"/>
      <c r="AZ791" s="74"/>
    </row>
    <row r="792">
      <c r="A792" s="71"/>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c r="AJ792" s="74"/>
      <c r="AK792" s="74"/>
      <c r="AL792" s="74"/>
      <c r="AM792" s="74"/>
      <c r="AN792" s="74"/>
      <c r="AO792" s="74"/>
      <c r="AP792" s="74"/>
      <c r="AQ792" s="74"/>
      <c r="AR792" s="74"/>
      <c r="AS792" s="74"/>
      <c r="AT792" s="74"/>
      <c r="AU792" s="74"/>
      <c r="AV792" s="74"/>
      <c r="AW792" s="74"/>
      <c r="AX792" s="74"/>
      <c r="AY792" s="74"/>
      <c r="AZ792" s="74"/>
    </row>
    <row r="793">
      <c r="A793" s="71"/>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c r="AJ793" s="74"/>
      <c r="AK793" s="74"/>
      <c r="AL793" s="74"/>
      <c r="AM793" s="74"/>
      <c r="AN793" s="74"/>
      <c r="AO793" s="74"/>
      <c r="AP793" s="74"/>
      <c r="AQ793" s="74"/>
      <c r="AR793" s="74"/>
      <c r="AS793" s="74"/>
      <c r="AT793" s="74"/>
      <c r="AU793" s="74"/>
      <c r="AV793" s="74"/>
      <c r="AW793" s="74"/>
      <c r="AX793" s="74"/>
      <c r="AY793" s="74"/>
      <c r="AZ793" s="74"/>
    </row>
    <row r="794">
      <c r="A794" s="71"/>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c r="AJ794" s="74"/>
      <c r="AK794" s="74"/>
      <c r="AL794" s="74"/>
      <c r="AM794" s="74"/>
      <c r="AN794" s="74"/>
      <c r="AO794" s="74"/>
      <c r="AP794" s="74"/>
      <c r="AQ794" s="74"/>
      <c r="AR794" s="74"/>
      <c r="AS794" s="74"/>
      <c r="AT794" s="74"/>
      <c r="AU794" s="74"/>
      <c r="AV794" s="74"/>
      <c r="AW794" s="74"/>
      <c r="AX794" s="74"/>
      <c r="AY794" s="74"/>
      <c r="AZ794" s="74"/>
    </row>
    <row r="795">
      <c r="A795" s="71"/>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c r="AM795" s="74"/>
      <c r="AN795" s="74"/>
      <c r="AO795" s="74"/>
      <c r="AP795" s="74"/>
      <c r="AQ795" s="74"/>
      <c r="AR795" s="74"/>
      <c r="AS795" s="74"/>
      <c r="AT795" s="74"/>
      <c r="AU795" s="74"/>
      <c r="AV795" s="74"/>
      <c r="AW795" s="74"/>
      <c r="AX795" s="74"/>
      <c r="AY795" s="74"/>
      <c r="AZ795" s="74"/>
    </row>
    <row r="796">
      <c r="A796" s="71"/>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c r="AM796" s="74"/>
      <c r="AN796" s="74"/>
      <c r="AO796" s="74"/>
      <c r="AP796" s="74"/>
      <c r="AQ796" s="74"/>
      <c r="AR796" s="74"/>
      <c r="AS796" s="74"/>
      <c r="AT796" s="74"/>
      <c r="AU796" s="74"/>
      <c r="AV796" s="74"/>
      <c r="AW796" s="74"/>
      <c r="AX796" s="74"/>
      <c r="AY796" s="74"/>
      <c r="AZ796" s="74"/>
    </row>
    <row r="797">
      <c r="A797" s="71"/>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c r="AM797" s="74"/>
      <c r="AN797" s="74"/>
      <c r="AO797" s="74"/>
      <c r="AP797" s="74"/>
      <c r="AQ797" s="74"/>
      <c r="AR797" s="74"/>
      <c r="AS797" s="74"/>
      <c r="AT797" s="74"/>
      <c r="AU797" s="74"/>
      <c r="AV797" s="74"/>
      <c r="AW797" s="74"/>
      <c r="AX797" s="74"/>
      <c r="AY797" s="74"/>
      <c r="AZ797" s="74"/>
    </row>
    <row r="798">
      <c r="A798" s="71"/>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c r="AJ798" s="74"/>
      <c r="AK798" s="74"/>
      <c r="AL798" s="74"/>
      <c r="AM798" s="74"/>
      <c r="AN798" s="74"/>
      <c r="AO798" s="74"/>
      <c r="AP798" s="74"/>
      <c r="AQ798" s="74"/>
      <c r="AR798" s="74"/>
      <c r="AS798" s="74"/>
      <c r="AT798" s="74"/>
      <c r="AU798" s="74"/>
      <c r="AV798" s="74"/>
      <c r="AW798" s="74"/>
      <c r="AX798" s="74"/>
      <c r="AY798" s="74"/>
      <c r="AZ798" s="74"/>
    </row>
    <row r="799">
      <c r="A799" s="71"/>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c r="AJ799" s="74"/>
      <c r="AK799" s="74"/>
      <c r="AL799" s="74"/>
      <c r="AM799" s="74"/>
      <c r="AN799" s="74"/>
      <c r="AO799" s="74"/>
      <c r="AP799" s="74"/>
      <c r="AQ799" s="74"/>
      <c r="AR799" s="74"/>
      <c r="AS799" s="74"/>
      <c r="AT799" s="74"/>
      <c r="AU799" s="74"/>
      <c r="AV799" s="74"/>
      <c r="AW799" s="74"/>
      <c r="AX799" s="74"/>
      <c r="AY799" s="74"/>
      <c r="AZ799" s="74"/>
    </row>
    <row r="800">
      <c r="A800" s="71"/>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c r="AJ800" s="74"/>
      <c r="AK800" s="74"/>
      <c r="AL800" s="74"/>
      <c r="AM800" s="74"/>
      <c r="AN800" s="74"/>
      <c r="AO800" s="74"/>
      <c r="AP800" s="74"/>
      <c r="AQ800" s="74"/>
      <c r="AR800" s="74"/>
      <c r="AS800" s="74"/>
      <c r="AT800" s="74"/>
      <c r="AU800" s="74"/>
      <c r="AV800" s="74"/>
      <c r="AW800" s="74"/>
      <c r="AX800" s="74"/>
      <c r="AY800" s="74"/>
      <c r="AZ800" s="74"/>
    </row>
    <row r="801">
      <c r="A801" s="71"/>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c r="AM801" s="74"/>
      <c r="AN801" s="74"/>
      <c r="AO801" s="74"/>
      <c r="AP801" s="74"/>
      <c r="AQ801" s="74"/>
      <c r="AR801" s="74"/>
      <c r="AS801" s="74"/>
      <c r="AT801" s="74"/>
      <c r="AU801" s="74"/>
      <c r="AV801" s="74"/>
      <c r="AW801" s="74"/>
      <c r="AX801" s="74"/>
      <c r="AY801" s="74"/>
      <c r="AZ801" s="74"/>
    </row>
    <row r="802">
      <c r="A802" s="71"/>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c r="AJ802" s="74"/>
      <c r="AK802" s="74"/>
      <c r="AL802" s="74"/>
      <c r="AM802" s="74"/>
      <c r="AN802" s="74"/>
      <c r="AO802" s="74"/>
      <c r="AP802" s="74"/>
      <c r="AQ802" s="74"/>
      <c r="AR802" s="74"/>
      <c r="AS802" s="74"/>
      <c r="AT802" s="74"/>
      <c r="AU802" s="74"/>
      <c r="AV802" s="74"/>
      <c r="AW802" s="74"/>
      <c r="AX802" s="74"/>
      <c r="AY802" s="74"/>
      <c r="AZ802" s="74"/>
    </row>
    <row r="803">
      <c r="A803" s="71"/>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c r="AJ803" s="74"/>
      <c r="AK803" s="74"/>
      <c r="AL803" s="74"/>
      <c r="AM803" s="74"/>
      <c r="AN803" s="74"/>
      <c r="AO803" s="74"/>
      <c r="AP803" s="74"/>
      <c r="AQ803" s="74"/>
      <c r="AR803" s="74"/>
      <c r="AS803" s="74"/>
      <c r="AT803" s="74"/>
      <c r="AU803" s="74"/>
      <c r="AV803" s="74"/>
      <c r="AW803" s="74"/>
      <c r="AX803" s="74"/>
      <c r="AY803" s="74"/>
      <c r="AZ803" s="74"/>
    </row>
    <row r="804">
      <c r="A804" s="71"/>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c r="AJ804" s="74"/>
      <c r="AK804" s="74"/>
      <c r="AL804" s="74"/>
      <c r="AM804" s="74"/>
      <c r="AN804" s="74"/>
      <c r="AO804" s="74"/>
      <c r="AP804" s="74"/>
      <c r="AQ804" s="74"/>
      <c r="AR804" s="74"/>
      <c r="AS804" s="74"/>
      <c r="AT804" s="74"/>
      <c r="AU804" s="74"/>
      <c r="AV804" s="74"/>
      <c r="AW804" s="74"/>
      <c r="AX804" s="74"/>
      <c r="AY804" s="74"/>
      <c r="AZ804" s="74"/>
    </row>
    <row r="805">
      <c r="A805" s="71"/>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c r="AJ805" s="74"/>
      <c r="AK805" s="74"/>
      <c r="AL805" s="74"/>
      <c r="AM805" s="74"/>
      <c r="AN805" s="74"/>
      <c r="AO805" s="74"/>
      <c r="AP805" s="74"/>
      <c r="AQ805" s="74"/>
      <c r="AR805" s="74"/>
      <c r="AS805" s="74"/>
      <c r="AT805" s="74"/>
      <c r="AU805" s="74"/>
      <c r="AV805" s="74"/>
      <c r="AW805" s="74"/>
      <c r="AX805" s="74"/>
      <c r="AY805" s="74"/>
      <c r="AZ805" s="74"/>
    </row>
    <row r="806">
      <c r="A806" s="71"/>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c r="AJ806" s="74"/>
      <c r="AK806" s="74"/>
      <c r="AL806" s="74"/>
      <c r="AM806" s="74"/>
      <c r="AN806" s="74"/>
      <c r="AO806" s="74"/>
      <c r="AP806" s="74"/>
      <c r="AQ806" s="74"/>
      <c r="AR806" s="74"/>
      <c r="AS806" s="74"/>
      <c r="AT806" s="74"/>
      <c r="AU806" s="74"/>
      <c r="AV806" s="74"/>
      <c r="AW806" s="74"/>
      <c r="AX806" s="74"/>
      <c r="AY806" s="74"/>
      <c r="AZ806" s="74"/>
    </row>
    <row r="807">
      <c r="A807" s="71"/>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c r="AJ807" s="74"/>
      <c r="AK807" s="74"/>
      <c r="AL807" s="74"/>
      <c r="AM807" s="74"/>
      <c r="AN807" s="74"/>
      <c r="AO807" s="74"/>
      <c r="AP807" s="74"/>
      <c r="AQ807" s="74"/>
      <c r="AR807" s="74"/>
      <c r="AS807" s="74"/>
      <c r="AT807" s="74"/>
      <c r="AU807" s="74"/>
      <c r="AV807" s="74"/>
      <c r="AW807" s="74"/>
      <c r="AX807" s="74"/>
      <c r="AY807" s="74"/>
      <c r="AZ807" s="74"/>
    </row>
    <row r="808">
      <c r="A808" s="71"/>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c r="AJ808" s="74"/>
      <c r="AK808" s="74"/>
      <c r="AL808" s="74"/>
      <c r="AM808" s="74"/>
      <c r="AN808" s="74"/>
      <c r="AO808" s="74"/>
      <c r="AP808" s="74"/>
      <c r="AQ808" s="74"/>
      <c r="AR808" s="74"/>
      <c r="AS808" s="74"/>
      <c r="AT808" s="74"/>
      <c r="AU808" s="74"/>
      <c r="AV808" s="74"/>
      <c r="AW808" s="74"/>
      <c r="AX808" s="74"/>
      <c r="AY808" s="74"/>
      <c r="AZ808" s="74"/>
    </row>
    <row r="809">
      <c r="A809" s="71"/>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c r="AJ809" s="74"/>
      <c r="AK809" s="74"/>
      <c r="AL809" s="74"/>
      <c r="AM809" s="74"/>
      <c r="AN809" s="74"/>
      <c r="AO809" s="74"/>
      <c r="AP809" s="74"/>
      <c r="AQ809" s="74"/>
      <c r="AR809" s="74"/>
      <c r="AS809" s="74"/>
      <c r="AT809" s="74"/>
      <c r="AU809" s="74"/>
      <c r="AV809" s="74"/>
      <c r="AW809" s="74"/>
      <c r="AX809" s="74"/>
      <c r="AY809" s="74"/>
      <c r="AZ809" s="74"/>
    </row>
    <row r="810">
      <c r="A810" s="71"/>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c r="AJ810" s="74"/>
      <c r="AK810" s="74"/>
      <c r="AL810" s="74"/>
      <c r="AM810" s="74"/>
      <c r="AN810" s="74"/>
      <c r="AO810" s="74"/>
      <c r="AP810" s="74"/>
      <c r="AQ810" s="74"/>
      <c r="AR810" s="74"/>
      <c r="AS810" s="74"/>
      <c r="AT810" s="74"/>
      <c r="AU810" s="74"/>
      <c r="AV810" s="74"/>
      <c r="AW810" s="74"/>
      <c r="AX810" s="74"/>
      <c r="AY810" s="74"/>
      <c r="AZ810" s="74"/>
    </row>
    <row r="811">
      <c r="A811" s="71"/>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c r="AJ811" s="74"/>
      <c r="AK811" s="74"/>
      <c r="AL811" s="74"/>
      <c r="AM811" s="74"/>
      <c r="AN811" s="74"/>
      <c r="AO811" s="74"/>
      <c r="AP811" s="74"/>
      <c r="AQ811" s="74"/>
      <c r="AR811" s="74"/>
      <c r="AS811" s="74"/>
      <c r="AT811" s="74"/>
      <c r="AU811" s="74"/>
      <c r="AV811" s="74"/>
      <c r="AW811" s="74"/>
      <c r="AX811" s="74"/>
      <c r="AY811" s="74"/>
      <c r="AZ811" s="74"/>
    </row>
    <row r="812">
      <c r="A812" s="71"/>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c r="AJ812" s="74"/>
      <c r="AK812" s="74"/>
      <c r="AL812" s="74"/>
      <c r="AM812" s="74"/>
      <c r="AN812" s="74"/>
      <c r="AO812" s="74"/>
      <c r="AP812" s="74"/>
      <c r="AQ812" s="74"/>
      <c r="AR812" s="74"/>
      <c r="AS812" s="74"/>
      <c r="AT812" s="74"/>
      <c r="AU812" s="74"/>
      <c r="AV812" s="74"/>
      <c r="AW812" s="74"/>
      <c r="AX812" s="74"/>
      <c r="AY812" s="74"/>
      <c r="AZ812" s="74"/>
    </row>
    <row r="813">
      <c r="A813" s="71"/>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c r="AJ813" s="74"/>
      <c r="AK813" s="74"/>
      <c r="AL813" s="74"/>
      <c r="AM813" s="74"/>
      <c r="AN813" s="74"/>
      <c r="AO813" s="74"/>
      <c r="AP813" s="74"/>
      <c r="AQ813" s="74"/>
      <c r="AR813" s="74"/>
      <c r="AS813" s="74"/>
      <c r="AT813" s="74"/>
      <c r="AU813" s="74"/>
      <c r="AV813" s="74"/>
      <c r="AW813" s="74"/>
      <c r="AX813" s="74"/>
      <c r="AY813" s="74"/>
      <c r="AZ813" s="74"/>
    </row>
    <row r="814">
      <c r="A814" s="71"/>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c r="AJ814" s="74"/>
      <c r="AK814" s="74"/>
      <c r="AL814" s="74"/>
      <c r="AM814" s="74"/>
      <c r="AN814" s="74"/>
      <c r="AO814" s="74"/>
      <c r="AP814" s="74"/>
      <c r="AQ814" s="74"/>
      <c r="AR814" s="74"/>
      <c r="AS814" s="74"/>
      <c r="AT814" s="74"/>
      <c r="AU814" s="74"/>
      <c r="AV814" s="74"/>
      <c r="AW814" s="74"/>
      <c r="AX814" s="74"/>
      <c r="AY814" s="74"/>
      <c r="AZ814" s="74"/>
    </row>
    <row r="815">
      <c r="A815" s="71"/>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c r="AJ815" s="74"/>
      <c r="AK815" s="74"/>
      <c r="AL815" s="74"/>
      <c r="AM815" s="74"/>
      <c r="AN815" s="74"/>
      <c r="AO815" s="74"/>
      <c r="AP815" s="74"/>
      <c r="AQ815" s="74"/>
      <c r="AR815" s="74"/>
      <c r="AS815" s="74"/>
      <c r="AT815" s="74"/>
      <c r="AU815" s="74"/>
      <c r="AV815" s="74"/>
      <c r="AW815" s="74"/>
      <c r="AX815" s="74"/>
      <c r="AY815" s="74"/>
      <c r="AZ815" s="74"/>
    </row>
    <row r="816">
      <c r="A816" s="71"/>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c r="AJ816" s="74"/>
      <c r="AK816" s="74"/>
      <c r="AL816" s="74"/>
      <c r="AM816" s="74"/>
      <c r="AN816" s="74"/>
      <c r="AO816" s="74"/>
      <c r="AP816" s="74"/>
      <c r="AQ816" s="74"/>
      <c r="AR816" s="74"/>
      <c r="AS816" s="74"/>
      <c r="AT816" s="74"/>
      <c r="AU816" s="74"/>
      <c r="AV816" s="74"/>
      <c r="AW816" s="74"/>
      <c r="AX816" s="74"/>
      <c r="AY816" s="74"/>
      <c r="AZ816" s="74"/>
    </row>
    <row r="817">
      <c r="A817" s="71"/>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c r="AJ817" s="74"/>
      <c r="AK817" s="74"/>
      <c r="AL817" s="74"/>
      <c r="AM817" s="74"/>
      <c r="AN817" s="74"/>
      <c r="AO817" s="74"/>
      <c r="AP817" s="74"/>
      <c r="AQ817" s="74"/>
      <c r="AR817" s="74"/>
      <c r="AS817" s="74"/>
      <c r="AT817" s="74"/>
      <c r="AU817" s="74"/>
      <c r="AV817" s="74"/>
      <c r="AW817" s="74"/>
      <c r="AX817" s="74"/>
      <c r="AY817" s="74"/>
      <c r="AZ817" s="74"/>
    </row>
    <row r="818">
      <c r="A818" s="71"/>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c r="AJ818" s="74"/>
      <c r="AK818" s="74"/>
      <c r="AL818" s="74"/>
      <c r="AM818" s="74"/>
      <c r="AN818" s="74"/>
      <c r="AO818" s="74"/>
      <c r="AP818" s="74"/>
      <c r="AQ818" s="74"/>
      <c r="AR818" s="74"/>
      <c r="AS818" s="74"/>
      <c r="AT818" s="74"/>
      <c r="AU818" s="74"/>
      <c r="AV818" s="74"/>
      <c r="AW818" s="74"/>
      <c r="AX818" s="74"/>
      <c r="AY818" s="74"/>
      <c r="AZ818" s="74"/>
    </row>
    <row r="819">
      <c r="A819" s="71"/>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c r="AJ819" s="74"/>
      <c r="AK819" s="74"/>
      <c r="AL819" s="74"/>
      <c r="AM819" s="74"/>
      <c r="AN819" s="74"/>
      <c r="AO819" s="74"/>
      <c r="AP819" s="74"/>
      <c r="AQ819" s="74"/>
      <c r="AR819" s="74"/>
      <c r="AS819" s="74"/>
      <c r="AT819" s="74"/>
      <c r="AU819" s="74"/>
      <c r="AV819" s="74"/>
      <c r="AW819" s="74"/>
      <c r="AX819" s="74"/>
      <c r="AY819" s="74"/>
      <c r="AZ819" s="74"/>
    </row>
    <row r="820">
      <c r="A820" s="71"/>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c r="AJ820" s="74"/>
      <c r="AK820" s="74"/>
      <c r="AL820" s="74"/>
      <c r="AM820" s="74"/>
      <c r="AN820" s="74"/>
      <c r="AO820" s="74"/>
      <c r="AP820" s="74"/>
      <c r="AQ820" s="74"/>
      <c r="AR820" s="74"/>
      <c r="AS820" s="74"/>
      <c r="AT820" s="74"/>
      <c r="AU820" s="74"/>
      <c r="AV820" s="74"/>
      <c r="AW820" s="74"/>
      <c r="AX820" s="74"/>
      <c r="AY820" s="74"/>
      <c r="AZ820" s="74"/>
    </row>
    <row r="821">
      <c r="A821" s="71"/>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c r="AJ821" s="74"/>
      <c r="AK821" s="74"/>
      <c r="AL821" s="74"/>
      <c r="AM821" s="74"/>
      <c r="AN821" s="74"/>
      <c r="AO821" s="74"/>
      <c r="AP821" s="74"/>
      <c r="AQ821" s="74"/>
      <c r="AR821" s="74"/>
      <c r="AS821" s="74"/>
      <c r="AT821" s="74"/>
      <c r="AU821" s="74"/>
      <c r="AV821" s="74"/>
      <c r="AW821" s="74"/>
      <c r="AX821" s="74"/>
      <c r="AY821" s="74"/>
      <c r="AZ821" s="74"/>
    </row>
    <row r="822">
      <c r="A822" s="71"/>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c r="AJ822" s="74"/>
      <c r="AK822" s="74"/>
      <c r="AL822" s="74"/>
      <c r="AM822" s="74"/>
      <c r="AN822" s="74"/>
      <c r="AO822" s="74"/>
      <c r="AP822" s="74"/>
      <c r="AQ822" s="74"/>
      <c r="AR822" s="74"/>
      <c r="AS822" s="74"/>
      <c r="AT822" s="74"/>
      <c r="AU822" s="74"/>
      <c r="AV822" s="74"/>
      <c r="AW822" s="74"/>
      <c r="AX822" s="74"/>
      <c r="AY822" s="74"/>
      <c r="AZ822" s="74"/>
    </row>
    <row r="823">
      <c r="A823" s="71"/>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c r="AJ823" s="74"/>
      <c r="AK823" s="74"/>
      <c r="AL823" s="74"/>
      <c r="AM823" s="74"/>
      <c r="AN823" s="74"/>
      <c r="AO823" s="74"/>
      <c r="AP823" s="74"/>
      <c r="AQ823" s="74"/>
      <c r="AR823" s="74"/>
      <c r="AS823" s="74"/>
      <c r="AT823" s="74"/>
      <c r="AU823" s="74"/>
      <c r="AV823" s="74"/>
      <c r="AW823" s="74"/>
      <c r="AX823" s="74"/>
      <c r="AY823" s="74"/>
      <c r="AZ823" s="74"/>
    </row>
    <row r="824">
      <c r="A824" s="71"/>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c r="AJ824" s="74"/>
      <c r="AK824" s="74"/>
      <c r="AL824" s="74"/>
      <c r="AM824" s="74"/>
      <c r="AN824" s="74"/>
      <c r="AO824" s="74"/>
      <c r="AP824" s="74"/>
      <c r="AQ824" s="74"/>
      <c r="AR824" s="74"/>
      <c r="AS824" s="74"/>
      <c r="AT824" s="74"/>
      <c r="AU824" s="74"/>
      <c r="AV824" s="74"/>
      <c r="AW824" s="74"/>
      <c r="AX824" s="74"/>
      <c r="AY824" s="74"/>
      <c r="AZ824" s="74"/>
    </row>
    <row r="825">
      <c r="A825" s="71"/>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c r="AJ825" s="74"/>
      <c r="AK825" s="74"/>
      <c r="AL825" s="74"/>
      <c r="AM825" s="74"/>
      <c r="AN825" s="74"/>
      <c r="AO825" s="74"/>
      <c r="AP825" s="74"/>
      <c r="AQ825" s="74"/>
      <c r="AR825" s="74"/>
      <c r="AS825" s="74"/>
      <c r="AT825" s="74"/>
      <c r="AU825" s="74"/>
      <c r="AV825" s="74"/>
      <c r="AW825" s="74"/>
      <c r="AX825" s="74"/>
      <c r="AY825" s="74"/>
      <c r="AZ825" s="74"/>
    </row>
    <row r="826">
      <c r="A826" s="71"/>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c r="AM826" s="74"/>
      <c r="AN826" s="74"/>
      <c r="AO826" s="74"/>
      <c r="AP826" s="74"/>
      <c r="AQ826" s="74"/>
      <c r="AR826" s="74"/>
      <c r="AS826" s="74"/>
      <c r="AT826" s="74"/>
      <c r="AU826" s="74"/>
      <c r="AV826" s="74"/>
      <c r="AW826" s="74"/>
      <c r="AX826" s="74"/>
      <c r="AY826" s="74"/>
      <c r="AZ826" s="74"/>
    </row>
    <row r="827">
      <c r="A827" s="71"/>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c r="AJ827" s="74"/>
      <c r="AK827" s="74"/>
      <c r="AL827" s="74"/>
      <c r="AM827" s="74"/>
      <c r="AN827" s="74"/>
      <c r="AO827" s="74"/>
      <c r="AP827" s="74"/>
      <c r="AQ827" s="74"/>
      <c r="AR827" s="74"/>
      <c r="AS827" s="74"/>
      <c r="AT827" s="74"/>
      <c r="AU827" s="74"/>
      <c r="AV827" s="74"/>
      <c r="AW827" s="74"/>
      <c r="AX827" s="74"/>
      <c r="AY827" s="74"/>
      <c r="AZ827" s="74"/>
    </row>
    <row r="828">
      <c r="A828" s="71"/>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c r="AJ828" s="74"/>
      <c r="AK828" s="74"/>
      <c r="AL828" s="74"/>
      <c r="AM828" s="74"/>
      <c r="AN828" s="74"/>
      <c r="AO828" s="74"/>
      <c r="AP828" s="74"/>
      <c r="AQ828" s="74"/>
      <c r="AR828" s="74"/>
      <c r="AS828" s="74"/>
      <c r="AT828" s="74"/>
      <c r="AU828" s="74"/>
      <c r="AV828" s="74"/>
      <c r="AW828" s="74"/>
      <c r="AX828" s="74"/>
      <c r="AY828" s="74"/>
      <c r="AZ828" s="74"/>
    </row>
    <row r="829">
      <c r="A829" s="71"/>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c r="AJ829" s="74"/>
      <c r="AK829" s="74"/>
      <c r="AL829" s="74"/>
      <c r="AM829" s="74"/>
      <c r="AN829" s="74"/>
      <c r="AO829" s="74"/>
      <c r="AP829" s="74"/>
      <c r="AQ829" s="74"/>
      <c r="AR829" s="74"/>
      <c r="AS829" s="74"/>
      <c r="AT829" s="74"/>
      <c r="AU829" s="74"/>
      <c r="AV829" s="74"/>
      <c r="AW829" s="74"/>
      <c r="AX829" s="74"/>
      <c r="AY829" s="74"/>
      <c r="AZ829" s="74"/>
    </row>
    <row r="830">
      <c r="A830" s="71"/>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c r="AJ830" s="74"/>
      <c r="AK830" s="74"/>
      <c r="AL830" s="74"/>
      <c r="AM830" s="74"/>
      <c r="AN830" s="74"/>
      <c r="AO830" s="74"/>
      <c r="AP830" s="74"/>
      <c r="AQ830" s="74"/>
      <c r="AR830" s="74"/>
      <c r="AS830" s="74"/>
      <c r="AT830" s="74"/>
      <c r="AU830" s="74"/>
      <c r="AV830" s="74"/>
      <c r="AW830" s="74"/>
      <c r="AX830" s="74"/>
      <c r="AY830" s="74"/>
      <c r="AZ830" s="74"/>
    </row>
    <row r="831">
      <c r="A831" s="71"/>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c r="AJ831" s="74"/>
      <c r="AK831" s="74"/>
      <c r="AL831" s="74"/>
      <c r="AM831" s="74"/>
      <c r="AN831" s="74"/>
      <c r="AO831" s="74"/>
      <c r="AP831" s="74"/>
      <c r="AQ831" s="74"/>
      <c r="AR831" s="74"/>
      <c r="AS831" s="74"/>
      <c r="AT831" s="74"/>
      <c r="AU831" s="74"/>
      <c r="AV831" s="74"/>
      <c r="AW831" s="74"/>
      <c r="AX831" s="74"/>
      <c r="AY831" s="74"/>
      <c r="AZ831" s="74"/>
    </row>
    <row r="832">
      <c r="A832" s="71"/>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c r="AJ832" s="74"/>
      <c r="AK832" s="74"/>
      <c r="AL832" s="74"/>
      <c r="AM832" s="74"/>
      <c r="AN832" s="74"/>
      <c r="AO832" s="74"/>
      <c r="AP832" s="74"/>
      <c r="AQ832" s="74"/>
      <c r="AR832" s="74"/>
      <c r="AS832" s="74"/>
      <c r="AT832" s="74"/>
      <c r="AU832" s="74"/>
      <c r="AV832" s="74"/>
      <c r="AW832" s="74"/>
      <c r="AX832" s="74"/>
      <c r="AY832" s="74"/>
      <c r="AZ832" s="74"/>
    </row>
    <row r="833">
      <c r="A833" s="71"/>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c r="AJ833" s="74"/>
      <c r="AK833" s="74"/>
      <c r="AL833" s="74"/>
      <c r="AM833" s="74"/>
      <c r="AN833" s="74"/>
      <c r="AO833" s="74"/>
      <c r="AP833" s="74"/>
      <c r="AQ833" s="74"/>
      <c r="AR833" s="74"/>
      <c r="AS833" s="74"/>
      <c r="AT833" s="74"/>
      <c r="AU833" s="74"/>
      <c r="AV833" s="74"/>
      <c r="AW833" s="74"/>
      <c r="AX833" s="74"/>
      <c r="AY833" s="74"/>
      <c r="AZ833" s="74"/>
    </row>
    <row r="834">
      <c r="A834" s="71"/>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c r="AJ834" s="74"/>
      <c r="AK834" s="74"/>
      <c r="AL834" s="74"/>
      <c r="AM834" s="74"/>
      <c r="AN834" s="74"/>
      <c r="AO834" s="74"/>
      <c r="AP834" s="74"/>
      <c r="AQ834" s="74"/>
      <c r="AR834" s="74"/>
      <c r="AS834" s="74"/>
      <c r="AT834" s="74"/>
      <c r="AU834" s="74"/>
      <c r="AV834" s="74"/>
      <c r="AW834" s="74"/>
      <c r="AX834" s="74"/>
      <c r="AY834" s="74"/>
      <c r="AZ834" s="74"/>
    </row>
    <row r="835">
      <c r="A835" s="71"/>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c r="AJ835" s="74"/>
      <c r="AK835" s="74"/>
      <c r="AL835" s="74"/>
      <c r="AM835" s="74"/>
      <c r="AN835" s="74"/>
      <c r="AO835" s="74"/>
      <c r="AP835" s="74"/>
      <c r="AQ835" s="74"/>
      <c r="AR835" s="74"/>
      <c r="AS835" s="74"/>
      <c r="AT835" s="74"/>
      <c r="AU835" s="74"/>
      <c r="AV835" s="74"/>
      <c r="AW835" s="74"/>
      <c r="AX835" s="74"/>
      <c r="AY835" s="74"/>
      <c r="AZ835" s="74"/>
    </row>
    <row r="836">
      <c r="A836" s="71"/>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c r="AJ836" s="74"/>
      <c r="AK836" s="74"/>
      <c r="AL836" s="74"/>
      <c r="AM836" s="74"/>
      <c r="AN836" s="74"/>
      <c r="AO836" s="74"/>
      <c r="AP836" s="74"/>
      <c r="AQ836" s="74"/>
      <c r="AR836" s="74"/>
      <c r="AS836" s="74"/>
      <c r="AT836" s="74"/>
      <c r="AU836" s="74"/>
      <c r="AV836" s="74"/>
      <c r="AW836" s="74"/>
      <c r="AX836" s="74"/>
      <c r="AY836" s="74"/>
      <c r="AZ836" s="74"/>
    </row>
    <row r="837">
      <c r="A837" s="71"/>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c r="AJ837" s="74"/>
      <c r="AK837" s="74"/>
      <c r="AL837" s="74"/>
      <c r="AM837" s="74"/>
      <c r="AN837" s="74"/>
      <c r="AO837" s="74"/>
      <c r="AP837" s="74"/>
      <c r="AQ837" s="74"/>
      <c r="AR837" s="74"/>
      <c r="AS837" s="74"/>
      <c r="AT837" s="74"/>
      <c r="AU837" s="74"/>
      <c r="AV837" s="74"/>
      <c r="AW837" s="74"/>
      <c r="AX837" s="74"/>
      <c r="AY837" s="74"/>
      <c r="AZ837" s="74"/>
    </row>
    <row r="838">
      <c r="A838" s="71"/>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c r="AJ838" s="74"/>
      <c r="AK838" s="74"/>
      <c r="AL838" s="74"/>
      <c r="AM838" s="74"/>
      <c r="AN838" s="74"/>
      <c r="AO838" s="74"/>
      <c r="AP838" s="74"/>
      <c r="AQ838" s="74"/>
      <c r="AR838" s="74"/>
      <c r="AS838" s="74"/>
      <c r="AT838" s="74"/>
      <c r="AU838" s="74"/>
      <c r="AV838" s="74"/>
      <c r="AW838" s="74"/>
      <c r="AX838" s="74"/>
      <c r="AY838" s="74"/>
      <c r="AZ838" s="74"/>
    </row>
    <row r="839">
      <c r="A839" s="71"/>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c r="AJ839" s="74"/>
      <c r="AK839" s="74"/>
      <c r="AL839" s="74"/>
      <c r="AM839" s="74"/>
      <c r="AN839" s="74"/>
      <c r="AO839" s="74"/>
      <c r="AP839" s="74"/>
      <c r="AQ839" s="74"/>
      <c r="AR839" s="74"/>
      <c r="AS839" s="74"/>
      <c r="AT839" s="74"/>
      <c r="AU839" s="74"/>
      <c r="AV839" s="74"/>
      <c r="AW839" s="74"/>
      <c r="AX839" s="74"/>
      <c r="AY839" s="74"/>
      <c r="AZ839" s="74"/>
    </row>
    <row r="840">
      <c r="A840" s="71"/>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c r="AJ840" s="74"/>
      <c r="AK840" s="74"/>
      <c r="AL840" s="74"/>
      <c r="AM840" s="74"/>
      <c r="AN840" s="74"/>
      <c r="AO840" s="74"/>
      <c r="AP840" s="74"/>
      <c r="AQ840" s="74"/>
      <c r="AR840" s="74"/>
      <c r="AS840" s="74"/>
      <c r="AT840" s="74"/>
      <c r="AU840" s="74"/>
      <c r="AV840" s="74"/>
      <c r="AW840" s="74"/>
      <c r="AX840" s="74"/>
      <c r="AY840" s="74"/>
      <c r="AZ840" s="74"/>
    </row>
    <row r="841">
      <c r="A841" s="71"/>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c r="AJ841" s="74"/>
      <c r="AK841" s="74"/>
      <c r="AL841" s="74"/>
      <c r="AM841" s="74"/>
      <c r="AN841" s="74"/>
      <c r="AO841" s="74"/>
      <c r="AP841" s="74"/>
      <c r="AQ841" s="74"/>
      <c r="AR841" s="74"/>
      <c r="AS841" s="74"/>
      <c r="AT841" s="74"/>
      <c r="AU841" s="74"/>
      <c r="AV841" s="74"/>
      <c r="AW841" s="74"/>
      <c r="AX841" s="74"/>
      <c r="AY841" s="74"/>
      <c r="AZ841" s="74"/>
    </row>
    <row r="842">
      <c r="A842" s="71"/>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c r="AJ842" s="74"/>
      <c r="AK842" s="74"/>
      <c r="AL842" s="74"/>
      <c r="AM842" s="74"/>
      <c r="AN842" s="74"/>
      <c r="AO842" s="74"/>
      <c r="AP842" s="74"/>
      <c r="AQ842" s="74"/>
      <c r="AR842" s="74"/>
      <c r="AS842" s="74"/>
      <c r="AT842" s="74"/>
      <c r="AU842" s="74"/>
      <c r="AV842" s="74"/>
      <c r="AW842" s="74"/>
      <c r="AX842" s="74"/>
      <c r="AY842" s="74"/>
      <c r="AZ842" s="74"/>
    </row>
    <row r="843">
      <c r="A843" s="71"/>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c r="AJ843" s="74"/>
      <c r="AK843" s="74"/>
      <c r="AL843" s="74"/>
      <c r="AM843" s="74"/>
      <c r="AN843" s="74"/>
      <c r="AO843" s="74"/>
      <c r="AP843" s="74"/>
      <c r="AQ843" s="74"/>
      <c r="AR843" s="74"/>
      <c r="AS843" s="74"/>
      <c r="AT843" s="74"/>
      <c r="AU843" s="74"/>
      <c r="AV843" s="74"/>
      <c r="AW843" s="74"/>
      <c r="AX843" s="74"/>
      <c r="AY843" s="74"/>
      <c r="AZ843" s="74"/>
    </row>
    <row r="844">
      <c r="A844" s="71"/>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c r="AJ844" s="74"/>
      <c r="AK844" s="74"/>
      <c r="AL844" s="74"/>
      <c r="AM844" s="74"/>
      <c r="AN844" s="74"/>
      <c r="AO844" s="74"/>
      <c r="AP844" s="74"/>
      <c r="AQ844" s="74"/>
      <c r="AR844" s="74"/>
      <c r="AS844" s="74"/>
      <c r="AT844" s="74"/>
      <c r="AU844" s="74"/>
      <c r="AV844" s="74"/>
      <c r="AW844" s="74"/>
      <c r="AX844" s="74"/>
      <c r="AY844" s="74"/>
      <c r="AZ844" s="74"/>
    </row>
    <row r="845">
      <c r="A845" s="71"/>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c r="AJ845" s="74"/>
      <c r="AK845" s="74"/>
      <c r="AL845" s="74"/>
      <c r="AM845" s="74"/>
      <c r="AN845" s="74"/>
      <c r="AO845" s="74"/>
      <c r="AP845" s="74"/>
      <c r="AQ845" s="74"/>
      <c r="AR845" s="74"/>
      <c r="AS845" s="74"/>
      <c r="AT845" s="74"/>
      <c r="AU845" s="74"/>
      <c r="AV845" s="74"/>
      <c r="AW845" s="74"/>
      <c r="AX845" s="74"/>
      <c r="AY845" s="74"/>
      <c r="AZ845" s="74"/>
    </row>
    <row r="846">
      <c r="A846" s="71"/>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c r="AN846" s="74"/>
      <c r="AO846" s="74"/>
      <c r="AP846" s="74"/>
      <c r="AQ846" s="74"/>
      <c r="AR846" s="74"/>
      <c r="AS846" s="74"/>
      <c r="AT846" s="74"/>
      <c r="AU846" s="74"/>
      <c r="AV846" s="74"/>
      <c r="AW846" s="74"/>
      <c r="AX846" s="74"/>
      <c r="AY846" s="74"/>
      <c r="AZ846" s="74"/>
    </row>
    <row r="847">
      <c r="A847" s="71"/>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c r="AJ847" s="74"/>
      <c r="AK847" s="74"/>
      <c r="AL847" s="74"/>
      <c r="AM847" s="74"/>
      <c r="AN847" s="74"/>
      <c r="AO847" s="74"/>
      <c r="AP847" s="74"/>
      <c r="AQ847" s="74"/>
      <c r="AR847" s="74"/>
      <c r="AS847" s="74"/>
      <c r="AT847" s="74"/>
      <c r="AU847" s="74"/>
      <c r="AV847" s="74"/>
      <c r="AW847" s="74"/>
      <c r="AX847" s="74"/>
      <c r="AY847" s="74"/>
      <c r="AZ847" s="74"/>
    </row>
    <row r="848">
      <c r="A848" s="71"/>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c r="AJ848" s="74"/>
      <c r="AK848" s="74"/>
      <c r="AL848" s="74"/>
      <c r="AM848" s="74"/>
      <c r="AN848" s="74"/>
      <c r="AO848" s="74"/>
      <c r="AP848" s="74"/>
      <c r="AQ848" s="74"/>
      <c r="AR848" s="74"/>
      <c r="AS848" s="74"/>
      <c r="AT848" s="74"/>
      <c r="AU848" s="74"/>
      <c r="AV848" s="74"/>
      <c r="AW848" s="74"/>
      <c r="AX848" s="74"/>
      <c r="AY848" s="74"/>
      <c r="AZ848" s="74"/>
    </row>
    <row r="849">
      <c r="A849" s="71"/>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c r="AJ849" s="74"/>
      <c r="AK849" s="74"/>
      <c r="AL849" s="74"/>
      <c r="AM849" s="74"/>
      <c r="AN849" s="74"/>
      <c r="AO849" s="74"/>
      <c r="AP849" s="74"/>
      <c r="AQ849" s="74"/>
      <c r="AR849" s="74"/>
      <c r="AS849" s="74"/>
      <c r="AT849" s="74"/>
      <c r="AU849" s="74"/>
      <c r="AV849" s="74"/>
      <c r="AW849" s="74"/>
      <c r="AX849" s="74"/>
      <c r="AY849" s="74"/>
      <c r="AZ849" s="74"/>
    </row>
    <row r="850">
      <c r="A850" s="71"/>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c r="AJ850" s="74"/>
      <c r="AK850" s="74"/>
      <c r="AL850" s="74"/>
      <c r="AM850" s="74"/>
      <c r="AN850" s="74"/>
      <c r="AO850" s="74"/>
      <c r="AP850" s="74"/>
      <c r="AQ850" s="74"/>
      <c r="AR850" s="74"/>
      <c r="AS850" s="74"/>
      <c r="AT850" s="74"/>
      <c r="AU850" s="74"/>
      <c r="AV850" s="74"/>
      <c r="AW850" s="74"/>
      <c r="AX850" s="74"/>
      <c r="AY850" s="74"/>
      <c r="AZ850" s="74"/>
    </row>
    <row r="851">
      <c r="A851" s="71"/>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c r="AJ851" s="74"/>
      <c r="AK851" s="74"/>
      <c r="AL851" s="74"/>
      <c r="AM851" s="74"/>
      <c r="AN851" s="74"/>
      <c r="AO851" s="74"/>
      <c r="AP851" s="74"/>
      <c r="AQ851" s="74"/>
      <c r="AR851" s="74"/>
      <c r="AS851" s="74"/>
      <c r="AT851" s="74"/>
      <c r="AU851" s="74"/>
      <c r="AV851" s="74"/>
      <c r="AW851" s="74"/>
      <c r="AX851" s="74"/>
      <c r="AY851" s="74"/>
      <c r="AZ851" s="74"/>
    </row>
    <row r="852">
      <c r="A852" s="71"/>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c r="AJ852" s="74"/>
      <c r="AK852" s="74"/>
      <c r="AL852" s="74"/>
      <c r="AM852" s="74"/>
      <c r="AN852" s="74"/>
      <c r="AO852" s="74"/>
      <c r="AP852" s="74"/>
      <c r="AQ852" s="74"/>
      <c r="AR852" s="74"/>
      <c r="AS852" s="74"/>
      <c r="AT852" s="74"/>
      <c r="AU852" s="74"/>
      <c r="AV852" s="74"/>
      <c r="AW852" s="74"/>
      <c r="AX852" s="74"/>
      <c r="AY852" s="74"/>
      <c r="AZ852" s="74"/>
    </row>
    <row r="853">
      <c r="A853" s="71"/>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c r="AJ853" s="74"/>
      <c r="AK853" s="74"/>
      <c r="AL853" s="74"/>
      <c r="AM853" s="74"/>
      <c r="AN853" s="74"/>
      <c r="AO853" s="74"/>
      <c r="AP853" s="74"/>
      <c r="AQ853" s="74"/>
      <c r="AR853" s="74"/>
      <c r="AS853" s="74"/>
      <c r="AT853" s="74"/>
      <c r="AU853" s="74"/>
      <c r="AV853" s="74"/>
      <c r="AW853" s="74"/>
      <c r="AX853" s="74"/>
      <c r="AY853" s="74"/>
      <c r="AZ853" s="74"/>
    </row>
    <row r="854">
      <c r="A854" s="71"/>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c r="AJ854" s="74"/>
      <c r="AK854" s="74"/>
      <c r="AL854" s="74"/>
      <c r="AM854" s="74"/>
      <c r="AN854" s="74"/>
      <c r="AO854" s="74"/>
      <c r="AP854" s="74"/>
      <c r="AQ854" s="74"/>
      <c r="AR854" s="74"/>
      <c r="AS854" s="74"/>
      <c r="AT854" s="74"/>
      <c r="AU854" s="74"/>
      <c r="AV854" s="74"/>
      <c r="AW854" s="74"/>
      <c r="AX854" s="74"/>
      <c r="AY854" s="74"/>
      <c r="AZ854" s="74"/>
    </row>
    <row r="855">
      <c r="A855" s="71"/>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c r="AJ855" s="74"/>
      <c r="AK855" s="74"/>
      <c r="AL855" s="74"/>
      <c r="AM855" s="74"/>
      <c r="AN855" s="74"/>
      <c r="AO855" s="74"/>
      <c r="AP855" s="74"/>
      <c r="AQ855" s="74"/>
      <c r="AR855" s="74"/>
      <c r="AS855" s="74"/>
      <c r="AT855" s="74"/>
      <c r="AU855" s="74"/>
      <c r="AV855" s="74"/>
      <c r="AW855" s="74"/>
      <c r="AX855" s="74"/>
      <c r="AY855" s="74"/>
      <c r="AZ855" s="74"/>
    </row>
    <row r="856">
      <c r="A856" s="71"/>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c r="AJ856" s="74"/>
      <c r="AK856" s="74"/>
      <c r="AL856" s="74"/>
      <c r="AM856" s="74"/>
      <c r="AN856" s="74"/>
      <c r="AO856" s="74"/>
      <c r="AP856" s="74"/>
      <c r="AQ856" s="74"/>
      <c r="AR856" s="74"/>
      <c r="AS856" s="74"/>
      <c r="AT856" s="74"/>
      <c r="AU856" s="74"/>
      <c r="AV856" s="74"/>
      <c r="AW856" s="74"/>
      <c r="AX856" s="74"/>
      <c r="AY856" s="74"/>
      <c r="AZ856" s="74"/>
    </row>
    <row r="857">
      <c r="A857" s="71"/>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c r="AJ857" s="74"/>
      <c r="AK857" s="74"/>
      <c r="AL857" s="74"/>
      <c r="AM857" s="74"/>
      <c r="AN857" s="74"/>
      <c r="AO857" s="74"/>
      <c r="AP857" s="74"/>
      <c r="AQ857" s="74"/>
      <c r="AR857" s="74"/>
      <c r="AS857" s="74"/>
      <c r="AT857" s="74"/>
      <c r="AU857" s="74"/>
      <c r="AV857" s="74"/>
      <c r="AW857" s="74"/>
      <c r="AX857" s="74"/>
      <c r="AY857" s="74"/>
      <c r="AZ857" s="74"/>
    </row>
    <row r="858">
      <c r="A858" s="71"/>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c r="AJ858" s="74"/>
      <c r="AK858" s="74"/>
      <c r="AL858" s="74"/>
      <c r="AM858" s="74"/>
      <c r="AN858" s="74"/>
      <c r="AO858" s="74"/>
      <c r="AP858" s="74"/>
      <c r="AQ858" s="74"/>
      <c r="AR858" s="74"/>
      <c r="AS858" s="74"/>
      <c r="AT858" s="74"/>
      <c r="AU858" s="74"/>
      <c r="AV858" s="74"/>
      <c r="AW858" s="74"/>
      <c r="AX858" s="74"/>
      <c r="AY858" s="74"/>
      <c r="AZ858" s="74"/>
    </row>
    <row r="859">
      <c r="A859" s="71"/>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c r="AJ859" s="74"/>
      <c r="AK859" s="74"/>
      <c r="AL859" s="74"/>
      <c r="AM859" s="74"/>
      <c r="AN859" s="74"/>
      <c r="AO859" s="74"/>
      <c r="AP859" s="74"/>
      <c r="AQ859" s="74"/>
      <c r="AR859" s="74"/>
      <c r="AS859" s="74"/>
      <c r="AT859" s="74"/>
      <c r="AU859" s="74"/>
      <c r="AV859" s="74"/>
      <c r="AW859" s="74"/>
      <c r="AX859" s="74"/>
      <c r="AY859" s="74"/>
      <c r="AZ859" s="74"/>
    </row>
    <row r="860">
      <c r="A860" s="71"/>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c r="AJ860" s="74"/>
      <c r="AK860" s="74"/>
      <c r="AL860" s="74"/>
      <c r="AM860" s="74"/>
      <c r="AN860" s="74"/>
      <c r="AO860" s="74"/>
      <c r="AP860" s="74"/>
      <c r="AQ860" s="74"/>
      <c r="AR860" s="74"/>
      <c r="AS860" s="74"/>
      <c r="AT860" s="74"/>
      <c r="AU860" s="74"/>
      <c r="AV860" s="74"/>
      <c r="AW860" s="74"/>
      <c r="AX860" s="74"/>
      <c r="AY860" s="74"/>
      <c r="AZ860" s="74"/>
    </row>
    <row r="861">
      <c r="A861" s="71"/>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c r="AJ861" s="74"/>
      <c r="AK861" s="74"/>
      <c r="AL861" s="74"/>
      <c r="AM861" s="74"/>
      <c r="AN861" s="74"/>
      <c r="AO861" s="74"/>
      <c r="AP861" s="74"/>
      <c r="AQ861" s="74"/>
      <c r="AR861" s="74"/>
      <c r="AS861" s="74"/>
      <c r="AT861" s="74"/>
      <c r="AU861" s="74"/>
      <c r="AV861" s="74"/>
      <c r="AW861" s="74"/>
      <c r="AX861" s="74"/>
      <c r="AY861" s="74"/>
      <c r="AZ861" s="74"/>
    </row>
    <row r="862">
      <c r="A862" s="71"/>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c r="AJ862" s="74"/>
      <c r="AK862" s="74"/>
      <c r="AL862" s="74"/>
      <c r="AM862" s="74"/>
      <c r="AN862" s="74"/>
      <c r="AO862" s="74"/>
      <c r="AP862" s="74"/>
      <c r="AQ862" s="74"/>
      <c r="AR862" s="74"/>
      <c r="AS862" s="74"/>
      <c r="AT862" s="74"/>
      <c r="AU862" s="74"/>
      <c r="AV862" s="74"/>
      <c r="AW862" s="74"/>
      <c r="AX862" s="74"/>
      <c r="AY862" s="74"/>
      <c r="AZ862" s="74"/>
    </row>
    <row r="863">
      <c r="A863" s="71"/>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c r="AJ863" s="74"/>
      <c r="AK863" s="74"/>
      <c r="AL863" s="74"/>
      <c r="AM863" s="74"/>
      <c r="AN863" s="74"/>
      <c r="AO863" s="74"/>
      <c r="AP863" s="74"/>
      <c r="AQ863" s="74"/>
      <c r="AR863" s="74"/>
      <c r="AS863" s="74"/>
      <c r="AT863" s="74"/>
      <c r="AU863" s="74"/>
      <c r="AV863" s="74"/>
      <c r="AW863" s="74"/>
      <c r="AX863" s="74"/>
      <c r="AY863" s="74"/>
      <c r="AZ863" s="74"/>
    </row>
    <row r="864">
      <c r="A864" s="71"/>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c r="AJ864" s="74"/>
      <c r="AK864" s="74"/>
      <c r="AL864" s="74"/>
      <c r="AM864" s="74"/>
      <c r="AN864" s="74"/>
      <c r="AO864" s="74"/>
      <c r="AP864" s="74"/>
      <c r="AQ864" s="74"/>
      <c r="AR864" s="74"/>
      <c r="AS864" s="74"/>
      <c r="AT864" s="74"/>
      <c r="AU864" s="74"/>
      <c r="AV864" s="74"/>
      <c r="AW864" s="74"/>
      <c r="AX864" s="74"/>
      <c r="AY864" s="74"/>
      <c r="AZ864" s="74"/>
    </row>
    <row r="865">
      <c r="A865" s="71"/>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c r="AM865" s="74"/>
      <c r="AN865" s="74"/>
      <c r="AO865" s="74"/>
      <c r="AP865" s="74"/>
      <c r="AQ865" s="74"/>
      <c r="AR865" s="74"/>
      <c r="AS865" s="74"/>
      <c r="AT865" s="74"/>
      <c r="AU865" s="74"/>
      <c r="AV865" s="74"/>
      <c r="AW865" s="74"/>
      <c r="AX865" s="74"/>
      <c r="AY865" s="74"/>
      <c r="AZ865" s="74"/>
    </row>
    <row r="866">
      <c r="A866" s="71"/>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c r="AJ866" s="74"/>
      <c r="AK866" s="74"/>
      <c r="AL866" s="74"/>
      <c r="AM866" s="74"/>
      <c r="AN866" s="74"/>
      <c r="AO866" s="74"/>
      <c r="AP866" s="74"/>
      <c r="AQ866" s="74"/>
      <c r="AR866" s="74"/>
      <c r="AS866" s="74"/>
      <c r="AT866" s="74"/>
      <c r="AU866" s="74"/>
      <c r="AV866" s="74"/>
      <c r="AW866" s="74"/>
      <c r="AX866" s="74"/>
      <c r="AY866" s="74"/>
      <c r="AZ866" s="74"/>
    </row>
    <row r="867">
      <c r="A867" s="71"/>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c r="AJ867" s="74"/>
      <c r="AK867" s="74"/>
      <c r="AL867" s="74"/>
      <c r="AM867" s="74"/>
      <c r="AN867" s="74"/>
      <c r="AO867" s="74"/>
      <c r="AP867" s="74"/>
      <c r="AQ867" s="74"/>
      <c r="AR867" s="74"/>
      <c r="AS867" s="74"/>
      <c r="AT867" s="74"/>
      <c r="AU867" s="74"/>
      <c r="AV867" s="74"/>
      <c r="AW867" s="74"/>
      <c r="AX867" s="74"/>
      <c r="AY867" s="74"/>
      <c r="AZ867" s="74"/>
    </row>
    <row r="868">
      <c r="A868" s="71"/>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c r="AJ868" s="74"/>
      <c r="AK868" s="74"/>
      <c r="AL868" s="74"/>
      <c r="AM868" s="74"/>
      <c r="AN868" s="74"/>
      <c r="AO868" s="74"/>
      <c r="AP868" s="74"/>
      <c r="AQ868" s="74"/>
      <c r="AR868" s="74"/>
      <c r="AS868" s="74"/>
      <c r="AT868" s="74"/>
      <c r="AU868" s="74"/>
      <c r="AV868" s="74"/>
      <c r="AW868" s="74"/>
      <c r="AX868" s="74"/>
      <c r="AY868" s="74"/>
      <c r="AZ868" s="74"/>
    </row>
    <row r="869">
      <c r="A869" s="71"/>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c r="AJ869" s="74"/>
      <c r="AK869" s="74"/>
      <c r="AL869" s="74"/>
      <c r="AM869" s="74"/>
      <c r="AN869" s="74"/>
      <c r="AO869" s="74"/>
      <c r="AP869" s="74"/>
      <c r="AQ869" s="74"/>
      <c r="AR869" s="74"/>
      <c r="AS869" s="74"/>
      <c r="AT869" s="74"/>
      <c r="AU869" s="74"/>
      <c r="AV869" s="74"/>
      <c r="AW869" s="74"/>
      <c r="AX869" s="74"/>
      <c r="AY869" s="74"/>
      <c r="AZ869" s="74"/>
    </row>
    <row r="870">
      <c r="A870" s="71"/>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c r="AJ870" s="74"/>
      <c r="AK870" s="74"/>
      <c r="AL870" s="74"/>
      <c r="AM870" s="74"/>
      <c r="AN870" s="74"/>
      <c r="AO870" s="74"/>
      <c r="AP870" s="74"/>
      <c r="AQ870" s="74"/>
      <c r="AR870" s="74"/>
      <c r="AS870" s="74"/>
      <c r="AT870" s="74"/>
      <c r="AU870" s="74"/>
      <c r="AV870" s="74"/>
      <c r="AW870" s="74"/>
      <c r="AX870" s="74"/>
      <c r="AY870" s="74"/>
      <c r="AZ870" s="74"/>
    </row>
    <row r="871">
      <c r="A871" s="71"/>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c r="AJ871" s="74"/>
      <c r="AK871" s="74"/>
      <c r="AL871" s="74"/>
      <c r="AM871" s="74"/>
      <c r="AN871" s="74"/>
      <c r="AO871" s="74"/>
      <c r="AP871" s="74"/>
      <c r="AQ871" s="74"/>
      <c r="AR871" s="74"/>
      <c r="AS871" s="74"/>
      <c r="AT871" s="74"/>
      <c r="AU871" s="74"/>
      <c r="AV871" s="74"/>
      <c r="AW871" s="74"/>
      <c r="AX871" s="74"/>
      <c r="AY871" s="74"/>
      <c r="AZ871" s="74"/>
    </row>
    <row r="872">
      <c r="A872" s="71"/>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c r="AM872" s="74"/>
      <c r="AN872" s="74"/>
      <c r="AO872" s="74"/>
      <c r="AP872" s="74"/>
      <c r="AQ872" s="74"/>
      <c r="AR872" s="74"/>
      <c r="AS872" s="74"/>
      <c r="AT872" s="74"/>
      <c r="AU872" s="74"/>
      <c r="AV872" s="74"/>
      <c r="AW872" s="74"/>
      <c r="AX872" s="74"/>
      <c r="AY872" s="74"/>
      <c r="AZ872" s="74"/>
    </row>
    <row r="873">
      <c r="A873" s="71"/>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c r="AM873" s="74"/>
      <c r="AN873" s="74"/>
      <c r="AO873" s="74"/>
      <c r="AP873" s="74"/>
      <c r="AQ873" s="74"/>
      <c r="AR873" s="74"/>
      <c r="AS873" s="74"/>
      <c r="AT873" s="74"/>
      <c r="AU873" s="74"/>
      <c r="AV873" s="74"/>
      <c r="AW873" s="74"/>
      <c r="AX873" s="74"/>
      <c r="AY873" s="74"/>
      <c r="AZ873" s="74"/>
    </row>
    <row r="874">
      <c r="A874" s="71"/>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c r="AM874" s="74"/>
      <c r="AN874" s="74"/>
      <c r="AO874" s="74"/>
      <c r="AP874" s="74"/>
      <c r="AQ874" s="74"/>
      <c r="AR874" s="74"/>
      <c r="AS874" s="74"/>
      <c r="AT874" s="74"/>
      <c r="AU874" s="74"/>
      <c r="AV874" s="74"/>
      <c r="AW874" s="74"/>
      <c r="AX874" s="74"/>
      <c r="AY874" s="74"/>
      <c r="AZ874" s="74"/>
    </row>
    <row r="875">
      <c r="A875" s="71"/>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c r="AM875" s="74"/>
      <c r="AN875" s="74"/>
      <c r="AO875" s="74"/>
      <c r="AP875" s="74"/>
      <c r="AQ875" s="74"/>
      <c r="AR875" s="74"/>
      <c r="AS875" s="74"/>
      <c r="AT875" s="74"/>
      <c r="AU875" s="74"/>
      <c r="AV875" s="74"/>
      <c r="AW875" s="74"/>
      <c r="AX875" s="74"/>
      <c r="AY875" s="74"/>
      <c r="AZ875" s="74"/>
    </row>
    <row r="876">
      <c r="A876" s="71"/>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c r="AM876" s="74"/>
      <c r="AN876" s="74"/>
      <c r="AO876" s="74"/>
      <c r="AP876" s="74"/>
      <c r="AQ876" s="74"/>
      <c r="AR876" s="74"/>
      <c r="AS876" s="74"/>
      <c r="AT876" s="74"/>
      <c r="AU876" s="74"/>
      <c r="AV876" s="74"/>
      <c r="AW876" s="74"/>
      <c r="AX876" s="74"/>
      <c r="AY876" s="74"/>
      <c r="AZ876" s="74"/>
    </row>
    <row r="877">
      <c r="A877" s="71"/>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c r="AM877" s="74"/>
      <c r="AN877" s="74"/>
      <c r="AO877" s="74"/>
      <c r="AP877" s="74"/>
      <c r="AQ877" s="74"/>
      <c r="AR877" s="74"/>
      <c r="AS877" s="74"/>
      <c r="AT877" s="74"/>
      <c r="AU877" s="74"/>
      <c r="AV877" s="74"/>
      <c r="AW877" s="74"/>
      <c r="AX877" s="74"/>
      <c r="AY877" s="74"/>
      <c r="AZ877" s="74"/>
    </row>
    <row r="878">
      <c r="A878" s="71"/>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c r="AJ878" s="74"/>
      <c r="AK878" s="74"/>
      <c r="AL878" s="74"/>
      <c r="AM878" s="74"/>
      <c r="AN878" s="74"/>
      <c r="AO878" s="74"/>
      <c r="AP878" s="74"/>
      <c r="AQ878" s="74"/>
      <c r="AR878" s="74"/>
      <c r="AS878" s="74"/>
      <c r="AT878" s="74"/>
      <c r="AU878" s="74"/>
      <c r="AV878" s="74"/>
      <c r="AW878" s="74"/>
      <c r="AX878" s="74"/>
      <c r="AY878" s="74"/>
      <c r="AZ878" s="74"/>
    </row>
    <row r="879">
      <c r="A879" s="71"/>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c r="AJ879" s="74"/>
      <c r="AK879" s="74"/>
      <c r="AL879" s="74"/>
      <c r="AM879" s="74"/>
      <c r="AN879" s="74"/>
      <c r="AO879" s="74"/>
      <c r="AP879" s="74"/>
      <c r="AQ879" s="74"/>
      <c r="AR879" s="74"/>
      <c r="AS879" s="74"/>
      <c r="AT879" s="74"/>
      <c r="AU879" s="74"/>
      <c r="AV879" s="74"/>
      <c r="AW879" s="74"/>
      <c r="AX879" s="74"/>
      <c r="AY879" s="74"/>
      <c r="AZ879" s="74"/>
    </row>
    <row r="880">
      <c r="A880" s="71"/>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c r="AJ880" s="74"/>
      <c r="AK880" s="74"/>
      <c r="AL880" s="74"/>
      <c r="AM880" s="74"/>
      <c r="AN880" s="74"/>
      <c r="AO880" s="74"/>
      <c r="AP880" s="74"/>
      <c r="AQ880" s="74"/>
      <c r="AR880" s="74"/>
      <c r="AS880" s="74"/>
      <c r="AT880" s="74"/>
      <c r="AU880" s="74"/>
      <c r="AV880" s="74"/>
      <c r="AW880" s="74"/>
      <c r="AX880" s="74"/>
      <c r="AY880" s="74"/>
      <c r="AZ880" s="74"/>
    </row>
    <row r="881">
      <c r="A881" s="71"/>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c r="AJ881" s="74"/>
      <c r="AK881" s="74"/>
      <c r="AL881" s="74"/>
      <c r="AM881" s="74"/>
      <c r="AN881" s="74"/>
      <c r="AO881" s="74"/>
      <c r="AP881" s="74"/>
      <c r="AQ881" s="74"/>
      <c r="AR881" s="74"/>
      <c r="AS881" s="74"/>
      <c r="AT881" s="74"/>
      <c r="AU881" s="74"/>
      <c r="AV881" s="74"/>
      <c r="AW881" s="74"/>
      <c r="AX881" s="74"/>
      <c r="AY881" s="74"/>
      <c r="AZ881" s="74"/>
    </row>
    <row r="882">
      <c r="A882" s="71"/>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c r="AJ882" s="74"/>
      <c r="AK882" s="74"/>
      <c r="AL882" s="74"/>
      <c r="AM882" s="74"/>
      <c r="AN882" s="74"/>
      <c r="AO882" s="74"/>
      <c r="AP882" s="74"/>
      <c r="AQ882" s="74"/>
      <c r="AR882" s="74"/>
      <c r="AS882" s="74"/>
      <c r="AT882" s="74"/>
      <c r="AU882" s="74"/>
      <c r="AV882" s="74"/>
      <c r="AW882" s="74"/>
      <c r="AX882" s="74"/>
      <c r="AY882" s="74"/>
      <c r="AZ882" s="74"/>
    </row>
    <row r="883">
      <c r="A883" s="71"/>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c r="AJ883" s="74"/>
      <c r="AK883" s="74"/>
      <c r="AL883" s="74"/>
      <c r="AM883" s="74"/>
      <c r="AN883" s="74"/>
      <c r="AO883" s="74"/>
      <c r="AP883" s="74"/>
      <c r="AQ883" s="74"/>
      <c r="AR883" s="74"/>
      <c r="AS883" s="74"/>
      <c r="AT883" s="74"/>
      <c r="AU883" s="74"/>
      <c r="AV883" s="74"/>
      <c r="AW883" s="74"/>
      <c r="AX883" s="74"/>
      <c r="AY883" s="74"/>
      <c r="AZ883" s="74"/>
    </row>
    <row r="884">
      <c r="A884" s="71"/>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c r="AJ884" s="74"/>
      <c r="AK884" s="74"/>
      <c r="AL884" s="74"/>
      <c r="AM884" s="74"/>
      <c r="AN884" s="74"/>
      <c r="AO884" s="74"/>
      <c r="AP884" s="74"/>
      <c r="AQ884" s="74"/>
      <c r="AR884" s="74"/>
      <c r="AS884" s="74"/>
      <c r="AT884" s="74"/>
      <c r="AU884" s="74"/>
      <c r="AV884" s="74"/>
      <c r="AW884" s="74"/>
      <c r="AX884" s="74"/>
      <c r="AY884" s="74"/>
      <c r="AZ884" s="74"/>
    </row>
    <row r="885">
      <c r="A885" s="71"/>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c r="AJ885" s="74"/>
      <c r="AK885" s="74"/>
      <c r="AL885" s="74"/>
      <c r="AM885" s="74"/>
      <c r="AN885" s="74"/>
      <c r="AO885" s="74"/>
      <c r="AP885" s="74"/>
      <c r="AQ885" s="74"/>
      <c r="AR885" s="74"/>
      <c r="AS885" s="74"/>
      <c r="AT885" s="74"/>
      <c r="AU885" s="74"/>
      <c r="AV885" s="74"/>
      <c r="AW885" s="74"/>
      <c r="AX885" s="74"/>
      <c r="AY885" s="74"/>
      <c r="AZ885" s="74"/>
    </row>
    <row r="886">
      <c r="A886" s="71"/>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c r="AJ886" s="74"/>
      <c r="AK886" s="74"/>
      <c r="AL886" s="74"/>
      <c r="AM886" s="74"/>
      <c r="AN886" s="74"/>
      <c r="AO886" s="74"/>
      <c r="AP886" s="74"/>
      <c r="AQ886" s="74"/>
      <c r="AR886" s="74"/>
      <c r="AS886" s="74"/>
      <c r="AT886" s="74"/>
      <c r="AU886" s="74"/>
      <c r="AV886" s="74"/>
      <c r="AW886" s="74"/>
      <c r="AX886" s="74"/>
      <c r="AY886" s="74"/>
      <c r="AZ886" s="74"/>
    </row>
    <row r="887">
      <c r="A887" s="71"/>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c r="AJ887" s="74"/>
      <c r="AK887" s="74"/>
      <c r="AL887" s="74"/>
      <c r="AM887" s="74"/>
      <c r="AN887" s="74"/>
      <c r="AO887" s="74"/>
      <c r="AP887" s="74"/>
      <c r="AQ887" s="74"/>
      <c r="AR887" s="74"/>
      <c r="AS887" s="74"/>
      <c r="AT887" s="74"/>
      <c r="AU887" s="74"/>
      <c r="AV887" s="74"/>
      <c r="AW887" s="74"/>
      <c r="AX887" s="74"/>
      <c r="AY887" s="74"/>
      <c r="AZ887" s="74"/>
    </row>
    <row r="888">
      <c r="A888" s="71"/>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c r="AJ888" s="74"/>
      <c r="AK888" s="74"/>
      <c r="AL888" s="74"/>
      <c r="AM888" s="74"/>
      <c r="AN888" s="74"/>
      <c r="AO888" s="74"/>
      <c r="AP888" s="74"/>
      <c r="AQ888" s="74"/>
      <c r="AR888" s="74"/>
      <c r="AS888" s="74"/>
      <c r="AT888" s="74"/>
      <c r="AU888" s="74"/>
      <c r="AV888" s="74"/>
      <c r="AW888" s="74"/>
      <c r="AX888" s="74"/>
      <c r="AY888" s="74"/>
      <c r="AZ888" s="74"/>
    </row>
    <row r="889">
      <c r="A889" s="71"/>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c r="AJ889" s="74"/>
      <c r="AK889" s="74"/>
      <c r="AL889" s="74"/>
      <c r="AM889" s="74"/>
      <c r="AN889" s="74"/>
      <c r="AO889" s="74"/>
      <c r="AP889" s="74"/>
      <c r="AQ889" s="74"/>
      <c r="AR889" s="74"/>
      <c r="AS889" s="74"/>
      <c r="AT889" s="74"/>
      <c r="AU889" s="74"/>
      <c r="AV889" s="74"/>
      <c r="AW889" s="74"/>
      <c r="AX889" s="74"/>
      <c r="AY889" s="74"/>
      <c r="AZ889" s="74"/>
    </row>
    <row r="890">
      <c r="A890" s="71"/>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c r="AJ890" s="74"/>
      <c r="AK890" s="74"/>
      <c r="AL890" s="74"/>
      <c r="AM890" s="74"/>
      <c r="AN890" s="74"/>
      <c r="AO890" s="74"/>
      <c r="AP890" s="74"/>
      <c r="AQ890" s="74"/>
      <c r="AR890" s="74"/>
      <c r="AS890" s="74"/>
      <c r="AT890" s="74"/>
      <c r="AU890" s="74"/>
      <c r="AV890" s="74"/>
      <c r="AW890" s="74"/>
      <c r="AX890" s="74"/>
      <c r="AY890" s="74"/>
      <c r="AZ890" s="74"/>
    </row>
    <row r="891">
      <c r="A891" s="71"/>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c r="AJ891" s="74"/>
      <c r="AK891" s="74"/>
      <c r="AL891" s="74"/>
      <c r="AM891" s="74"/>
      <c r="AN891" s="74"/>
      <c r="AO891" s="74"/>
      <c r="AP891" s="74"/>
      <c r="AQ891" s="74"/>
      <c r="AR891" s="74"/>
      <c r="AS891" s="74"/>
      <c r="AT891" s="74"/>
      <c r="AU891" s="74"/>
      <c r="AV891" s="74"/>
      <c r="AW891" s="74"/>
      <c r="AX891" s="74"/>
      <c r="AY891" s="74"/>
      <c r="AZ891" s="74"/>
    </row>
    <row r="892">
      <c r="A892" s="71"/>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c r="AJ892" s="74"/>
      <c r="AK892" s="74"/>
      <c r="AL892" s="74"/>
      <c r="AM892" s="74"/>
      <c r="AN892" s="74"/>
      <c r="AO892" s="74"/>
      <c r="AP892" s="74"/>
      <c r="AQ892" s="74"/>
      <c r="AR892" s="74"/>
      <c r="AS892" s="74"/>
      <c r="AT892" s="74"/>
      <c r="AU892" s="74"/>
      <c r="AV892" s="74"/>
      <c r="AW892" s="74"/>
      <c r="AX892" s="74"/>
      <c r="AY892" s="74"/>
      <c r="AZ892" s="74"/>
    </row>
    <row r="893">
      <c r="A893" s="71"/>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c r="AJ893" s="74"/>
      <c r="AK893" s="74"/>
      <c r="AL893" s="74"/>
      <c r="AM893" s="74"/>
      <c r="AN893" s="74"/>
      <c r="AO893" s="74"/>
      <c r="AP893" s="74"/>
      <c r="AQ893" s="74"/>
      <c r="AR893" s="74"/>
      <c r="AS893" s="74"/>
      <c r="AT893" s="74"/>
      <c r="AU893" s="74"/>
      <c r="AV893" s="74"/>
      <c r="AW893" s="74"/>
      <c r="AX893" s="74"/>
      <c r="AY893" s="74"/>
      <c r="AZ893" s="74"/>
    </row>
    <row r="894">
      <c r="A894" s="71"/>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c r="AJ894" s="74"/>
      <c r="AK894" s="74"/>
      <c r="AL894" s="74"/>
      <c r="AM894" s="74"/>
      <c r="AN894" s="74"/>
      <c r="AO894" s="74"/>
      <c r="AP894" s="74"/>
      <c r="AQ894" s="74"/>
      <c r="AR894" s="74"/>
      <c r="AS894" s="74"/>
      <c r="AT894" s="74"/>
      <c r="AU894" s="74"/>
      <c r="AV894" s="74"/>
      <c r="AW894" s="74"/>
      <c r="AX894" s="74"/>
      <c r="AY894" s="74"/>
      <c r="AZ894" s="74"/>
    </row>
    <row r="895">
      <c r="A895" s="71"/>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c r="AJ895" s="74"/>
      <c r="AK895" s="74"/>
      <c r="AL895" s="74"/>
      <c r="AM895" s="74"/>
      <c r="AN895" s="74"/>
      <c r="AO895" s="74"/>
      <c r="AP895" s="74"/>
      <c r="AQ895" s="74"/>
      <c r="AR895" s="74"/>
      <c r="AS895" s="74"/>
      <c r="AT895" s="74"/>
      <c r="AU895" s="74"/>
      <c r="AV895" s="74"/>
      <c r="AW895" s="74"/>
      <c r="AX895" s="74"/>
      <c r="AY895" s="74"/>
      <c r="AZ895" s="74"/>
    </row>
    <row r="896">
      <c r="A896" s="71"/>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c r="AJ896" s="74"/>
      <c r="AK896" s="74"/>
      <c r="AL896" s="74"/>
      <c r="AM896" s="74"/>
      <c r="AN896" s="74"/>
      <c r="AO896" s="74"/>
      <c r="AP896" s="74"/>
      <c r="AQ896" s="74"/>
      <c r="AR896" s="74"/>
      <c r="AS896" s="74"/>
      <c r="AT896" s="74"/>
      <c r="AU896" s="74"/>
      <c r="AV896" s="74"/>
      <c r="AW896" s="74"/>
      <c r="AX896" s="74"/>
      <c r="AY896" s="74"/>
      <c r="AZ896" s="74"/>
    </row>
    <row r="897">
      <c r="A897" s="71"/>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c r="AM897" s="74"/>
      <c r="AN897" s="74"/>
      <c r="AO897" s="74"/>
      <c r="AP897" s="74"/>
      <c r="AQ897" s="74"/>
      <c r="AR897" s="74"/>
      <c r="AS897" s="74"/>
      <c r="AT897" s="74"/>
      <c r="AU897" s="74"/>
      <c r="AV897" s="74"/>
      <c r="AW897" s="74"/>
      <c r="AX897" s="74"/>
      <c r="AY897" s="74"/>
      <c r="AZ897" s="74"/>
    </row>
    <row r="898">
      <c r="A898" s="71"/>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c r="AJ898" s="74"/>
      <c r="AK898" s="74"/>
      <c r="AL898" s="74"/>
      <c r="AM898" s="74"/>
      <c r="AN898" s="74"/>
      <c r="AO898" s="74"/>
      <c r="AP898" s="74"/>
      <c r="AQ898" s="74"/>
      <c r="AR898" s="74"/>
      <c r="AS898" s="74"/>
      <c r="AT898" s="74"/>
      <c r="AU898" s="74"/>
      <c r="AV898" s="74"/>
      <c r="AW898" s="74"/>
      <c r="AX898" s="74"/>
      <c r="AY898" s="74"/>
      <c r="AZ898" s="74"/>
    </row>
    <row r="899">
      <c r="A899" s="71"/>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c r="AJ899" s="74"/>
      <c r="AK899" s="74"/>
      <c r="AL899" s="74"/>
      <c r="AM899" s="74"/>
      <c r="AN899" s="74"/>
      <c r="AO899" s="74"/>
      <c r="AP899" s="74"/>
      <c r="AQ899" s="74"/>
      <c r="AR899" s="74"/>
      <c r="AS899" s="74"/>
      <c r="AT899" s="74"/>
      <c r="AU899" s="74"/>
      <c r="AV899" s="74"/>
      <c r="AW899" s="74"/>
      <c r="AX899" s="74"/>
      <c r="AY899" s="74"/>
      <c r="AZ899" s="74"/>
    </row>
    <row r="900">
      <c r="A900" s="71"/>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c r="AJ900" s="74"/>
      <c r="AK900" s="74"/>
      <c r="AL900" s="74"/>
      <c r="AM900" s="74"/>
      <c r="AN900" s="74"/>
      <c r="AO900" s="74"/>
      <c r="AP900" s="74"/>
      <c r="AQ900" s="74"/>
      <c r="AR900" s="74"/>
      <c r="AS900" s="74"/>
      <c r="AT900" s="74"/>
      <c r="AU900" s="74"/>
      <c r="AV900" s="74"/>
      <c r="AW900" s="74"/>
      <c r="AX900" s="74"/>
      <c r="AY900" s="74"/>
      <c r="AZ900" s="74"/>
    </row>
    <row r="901">
      <c r="A901" s="71"/>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c r="AJ901" s="74"/>
      <c r="AK901" s="74"/>
      <c r="AL901" s="74"/>
      <c r="AM901" s="74"/>
      <c r="AN901" s="74"/>
      <c r="AO901" s="74"/>
      <c r="AP901" s="74"/>
      <c r="AQ901" s="74"/>
      <c r="AR901" s="74"/>
      <c r="AS901" s="74"/>
      <c r="AT901" s="74"/>
      <c r="AU901" s="74"/>
      <c r="AV901" s="74"/>
      <c r="AW901" s="74"/>
      <c r="AX901" s="74"/>
      <c r="AY901" s="74"/>
      <c r="AZ901" s="74"/>
    </row>
    <row r="902">
      <c r="A902" s="71"/>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c r="AJ902" s="74"/>
      <c r="AK902" s="74"/>
      <c r="AL902" s="74"/>
      <c r="AM902" s="74"/>
      <c r="AN902" s="74"/>
      <c r="AO902" s="74"/>
      <c r="AP902" s="74"/>
      <c r="AQ902" s="74"/>
      <c r="AR902" s="74"/>
      <c r="AS902" s="74"/>
      <c r="AT902" s="74"/>
      <c r="AU902" s="74"/>
      <c r="AV902" s="74"/>
      <c r="AW902" s="74"/>
      <c r="AX902" s="74"/>
      <c r="AY902" s="74"/>
      <c r="AZ902" s="74"/>
    </row>
    <row r="903">
      <c r="A903" s="71"/>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c r="AJ903" s="74"/>
      <c r="AK903" s="74"/>
      <c r="AL903" s="74"/>
      <c r="AM903" s="74"/>
      <c r="AN903" s="74"/>
      <c r="AO903" s="74"/>
      <c r="AP903" s="74"/>
      <c r="AQ903" s="74"/>
      <c r="AR903" s="74"/>
      <c r="AS903" s="74"/>
      <c r="AT903" s="74"/>
      <c r="AU903" s="74"/>
      <c r="AV903" s="74"/>
      <c r="AW903" s="74"/>
      <c r="AX903" s="74"/>
      <c r="AY903" s="74"/>
      <c r="AZ903" s="74"/>
    </row>
    <row r="904">
      <c r="A904" s="71"/>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c r="AJ904" s="74"/>
      <c r="AK904" s="74"/>
      <c r="AL904" s="74"/>
      <c r="AM904" s="74"/>
      <c r="AN904" s="74"/>
      <c r="AO904" s="74"/>
      <c r="AP904" s="74"/>
      <c r="AQ904" s="74"/>
      <c r="AR904" s="74"/>
      <c r="AS904" s="74"/>
      <c r="AT904" s="74"/>
      <c r="AU904" s="74"/>
      <c r="AV904" s="74"/>
      <c r="AW904" s="74"/>
      <c r="AX904" s="74"/>
      <c r="AY904" s="74"/>
      <c r="AZ904" s="74"/>
    </row>
    <row r="905">
      <c r="A905" s="71"/>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c r="AM905" s="74"/>
      <c r="AN905" s="74"/>
      <c r="AO905" s="74"/>
      <c r="AP905" s="74"/>
      <c r="AQ905" s="74"/>
      <c r="AR905" s="74"/>
      <c r="AS905" s="74"/>
      <c r="AT905" s="74"/>
      <c r="AU905" s="74"/>
      <c r="AV905" s="74"/>
      <c r="AW905" s="74"/>
      <c r="AX905" s="74"/>
      <c r="AY905" s="74"/>
      <c r="AZ905" s="74"/>
    </row>
    <row r="906">
      <c r="A906" s="71"/>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c r="AJ906" s="74"/>
      <c r="AK906" s="74"/>
      <c r="AL906" s="74"/>
      <c r="AM906" s="74"/>
      <c r="AN906" s="74"/>
      <c r="AO906" s="74"/>
      <c r="AP906" s="74"/>
      <c r="AQ906" s="74"/>
      <c r="AR906" s="74"/>
      <c r="AS906" s="74"/>
      <c r="AT906" s="74"/>
      <c r="AU906" s="74"/>
      <c r="AV906" s="74"/>
      <c r="AW906" s="74"/>
      <c r="AX906" s="74"/>
      <c r="AY906" s="74"/>
      <c r="AZ906" s="74"/>
    </row>
    <row r="907">
      <c r="A907" s="71"/>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c r="AJ907" s="74"/>
      <c r="AK907" s="74"/>
      <c r="AL907" s="74"/>
      <c r="AM907" s="74"/>
      <c r="AN907" s="74"/>
      <c r="AO907" s="74"/>
      <c r="AP907" s="74"/>
      <c r="AQ907" s="74"/>
      <c r="AR907" s="74"/>
      <c r="AS907" s="74"/>
      <c r="AT907" s="74"/>
      <c r="AU907" s="74"/>
      <c r="AV907" s="74"/>
      <c r="AW907" s="74"/>
      <c r="AX907" s="74"/>
      <c r="AY907" s="74"/>
      <c r="AZ907" s="74"/>
    </row>
    <row r="908">
      <c r="A908" s="71"/>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c r="AJ908" s="74"/>
      <c r="AK908" s="74"/>
      <c r="AL908" s="74"/>
      <c r="AM908" s="74"/>
      <c r="AN908" s="74"/>
      <c r="AO908" s="74"/>
      <c r="AP908" s="74"/>
      <c r="AQ908" s="74"/>
      <c r="AR908" s="74"/>
      <c r="AS908" s="74"/>
      <c r="AT908" s="74"/>
      <c r="AU908" s="74"/>
      <c r="AV908" s="74"/>
      <c r="AW908" s="74"/>
      <c r="AX908" s="74"/>
      <c r="AY908" s="74"/>
      <c r="AZ908" s="74"/>
    </row>
    <row r="909">
      <c r="A909" s="71"/>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c r="AJ909" s="74"/>
      <c r="AK909" s="74"/>
      <c r="AL909" s="74"/>
      <c r="AM909" s="74"/>
      <c r="AN909" s="74"/>
      <c r="AO909" s="74"/>
      <c r="AP909" s="74"/>
      <c r="AQ909" s="74"/>
      <c r="AR909" s="74"/>
      <c r="AS909" s="74"/>
      <c r="AT909" s="74"/>
      <c r="AU909" s="74"/>
      <c r="AV909" s="74"/>
      <c r="AW909" s="74"/>
      <c r="AX909" s="74"/>
      <c r="AY909" s="74"/>
      <c r="AZ909" s="74"/>
    </row>
    <row r="910">
      <c r="A910" s="71"/>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c r="AJ910" s="74"/>
      <c r="AK910" s="74"/>
      <c r="AL910" s="74"/>
      <c r="AM910" s="74"/>
      <c r="AN910" s="74"/>
      <c r="AO910" s="74"/>
      <c r="AP910" s="74"/>
      <c r="AQ910" s="74"/>
      <c r="AR910" s="74"/>
      <c r="AS910" s="74"/>
      <c r="AT910" s="74"/>
      <c r="AU910" s="74"/>
      <c r="AV910" s="74"/>
      <c r="AW910" s="74"/>
      <c r="AX910" s="74"/>
      <c r="AY910" s="74"/>
      <c r="AZ910" s="74"/>
    </row>
    <row r="911">
      <c r="A911" s="71"/>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c r="AJ911" s="74"/>
      <c r="AK911" s="74"/>
      <c r="AL911" s="74"/>
      <c r="AM911" s="74"/>
      <c r="AN911" s="74"/>
      <c r="AO911" s="74"/>
      <c r="AP911" s="74"/>
      <c r="AQ911" s="74"/>
      <c r="AR911" s="74"/>
      <c r="AS911" s="74"/>
      <c r="AT911" s="74"/>
      <c r="AU911" s="74"/>
      <c r="AV911" s="74"/>
      <c r="AW911" s="74"/>
      <c r="AX911" s="74"/>
      <c r="AY911" s="74"/>
      <c r="AZ911" s="74"/>
    </row>
    <row r="912">
      <c r="A912" s="71"/>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c r="AJ912" s="74"/>
      <c r="AK912" s="74"/>
      <c r="AL912" s="74"/>
      <c r="AM912" s="74"/>
      <c r="AN912" s="74"/>
      <c r="AO912" s="74"/>
      <c r="AP912" s="74"/>
      <c r="AQ912" s="74"/>
      <c r="AR912" s="74"/>
      <c r="AS912" s="74"/>
      <c r="AT912" s="74"/>
      <c r="AU912" s="74"/>
      <c r="AV912" s="74"/>
      <c r="AW912" s="74"/>
      <c r="AX912" s="74"/>
      <c r="AY912" s="74"/>
      <c r="AZ912" s="74"/>
    </row>
    <row r="913">
      <c r="A913" s="71"/>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c r="AJ913" s="74"/>
      <c r="AK913" s="74"/>
      <c r="AL913" s="74"/>
      <c r="AM913" s="74"/>
      <c r="AN913" s="74"/>
      <c r="AO913" s="74"/>
      <c r="AP913" s="74"/>
      <c r="AQ913" s="74"/>
      <c r="AR913" s="74"/>
      <c r="AS913" s="74"/>
      <c r="AT913" s="74"/>
      <c r="AU913" s="74"/>
      <c r="AV913" s="74"/>
      <c r="AW913" s="74"/>
      <c r="AX913" s="74"/>
      <c r="AY913" s="74"/>
      <c r="AZ913" s="74"/>
    </row>
    <row r="914">
      <c r="A914" s="71"/>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c r="AJ914" s="74"/>
      <c r="AK914" s="74"/>
      <c r="AL914" s="74"/>
      <c r="AM914" s="74"/>
      <c r="AN914" s="74"/>
      <c r="AO914" s="74"/>
      <c r="AP914" s="74"/>
      <c r="AQ914" s="74"/>
      <c r="AR914" s="74"/>
      <c r="AS914" s="74"/>
      <c r="AT914" s="74"/>
      <c r="AU914" s="74"/>
      <c r="AV914" s="74"/>
      <c r="AW914" s="74"/>
      <c r="AX914" s="74"/>
      <c r="AY914" s="74"/>
      <c r="AZ914" s="74"/>
    </row>
    <row r="915">
      <c r="A915" s="71"/>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c r="AJ915" s="74"/>
      <c r="AK915" s="74"/>
      <c r="AL915" s="74"/>
      <c r="AM915" s="74"/>
      <c r="AN915" s="74"/>
      <c r="AO915" s="74"/>
      <c r="AP915" s="74"/>
      <c r="AQ915" s="74"/>
      <c r="AR915" s="74"/>
      <c r="AS915" s="74"/>
      <c r="AT915" s="74"/>
      <c r="AU915" s="74"/>
      <c r="AV915" s="74"/>
      <c r="AW915" s="74"/>
      <c r="AX915" s="74"/>
      <c r="AY915" s="74"/>
      <c r="AZ915" s="74"/>
    </row>
    <row r="916">
      <c r="A916" s="71"/>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c r="AJ916" s="74"/>
      <c r="AK916" s="74"/>
      <c r="AL916" s="74"/>
      <c r="AM916" s="74"/>
      <c r="AN916" s="74"/>
      <c r="AO916" s="74"/>
      <c r="AP916" s="74"/>
      <c r="AQ916" s="74"/>
      <c r="AR916" s="74"/>
      <c r="AS916" s="74"/>
      <c r="AT916" s="74"/>
      <c r="AU916" s="74"/>
      <c r="AV916" s="74"/>
      <c r="AW916" s="74"/>
      <c r="AX916" s="74"/>
      <c r="AY916" s="74"/>
      <c r="AZ916" s="74"/>
    </row>
    <row r="917">
      <c r="A917" s="71"/>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c r="AJ917" s="74"/>
      <c r="AK917" s="74"/>
      <c r="AL917" s="74"/>
      <c r="AM917" s="74"/>
      <c r="AN917" s="74"/>
      <c r="AO917" s="74"/>
      <c r="AP917" s="74"/>
      <c r="AQ917" s="74"/>
      <c r="AR917" s="74"/>
      <c r="AS917" s="74"/>
      <c r="AT917" s="74"/>
      <c r="AU917" s="74"/>
      <c r="AV917" s="74"/>
      <c r="AW917" s="74"/>
      <c r="AX917" s="74"/>
      <c r="AY917" s="74"/>
      <c r="AZ917" s="74"/>
    </row>
    <row r="918">
      <c r="A918" s="71"/>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c r="AJ918" s="74"/>
      <c r="AK918" s="74"/>
      <c r="AL918" s="74"/>
      <c r="AM918" s="74"/>
      <c r="AN918" s="74"/>
      <c r="AO918" s="74"/>
      <c r="AP918" s="74"/>
      <c r="AQ918" s="74"/>
      <c r="AR918" s="74"/>
      <c r="AS918" s="74"/>
      <c r="AT918" s="74"/>
      <c r="AU918" s="74"/>
      <c r="AV918" s="74"/>
      <c r="AW918" s="74"/>
      <c r="AX918" s="74"/>
      <c r="AY918" s="74"/>
      <c r="AZ918" s="74"/>
    </row>
    <row r="919">
      <c r="A919" s="71"/>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c r="AJ919" s="74"/>
      <c r="AK919" s="74"/>
      <c r="AL919" s="74"/>
      <c r="AM919" s="74"/>
      <c r="AN919" s="74"/>
      <c r="AO919" s="74"/>
      <c r="AP919" s="74"/>
      <c r="AQ919" s="74"/>
      <c r="AR919" s="74"/>
      <c r="AS919" s="74"/>
      <c r="AT919" s="74"/>
      <c r="AU919" s="74"/>
      <c r="AV919" s="74"/>
      <c r="AW919" s="74"/>
      <c r="AX919" s="74"/>
      <c r="AY919" s="74"/>
      <c r="AZ919" s="74"/>
    </row>
    <row r="920">
      <c r="A920" s="71"/>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c r="AJ920" s="74"/>
      <c r="AK920" s="74"/>
      <c r="AL920" s="74"/>
      <c r="AM920" s="74"/>
      <c r="AN920" s="74"/>
      <c r="AO920" s="74"/>
      <c r="AP920" s="74"/>
      <c r="AQ920" s="74"/>
      <c r="AR920" s="74"/>
      <c r="AS920" s="74"/>
      <c r="AT920" s="74"/>
      <c r="AU920" s="74"/>
      <c r="AV920" s="74"/>
      <c r="AW920" s="74"/>
      <c r="AX920" s="74"/>
      <c r="AY920" s="74"/>
      <c r="AZ920" s="74"/>
    </row>
    <row r="921">
      <c r="A921" s="71"/>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c r="AJ921" s="74"/>
      <c r="AK921" s="74"/>
      <c r="AL921" s="74"/>
      <c r="AM921" s="74"/>
      <c r="AN921" s="74"/>
      <c r="AO921" s="74"/>
      <c r="AP921" s="74"/>
      <c r="AQ921" s="74"/>
      <c r="AR921" s="74"/>
      <c r="AS921" s="74"/>
      <c r="AT921" s="74"/>
      <c r="AU921" s="74"/>
      <c r="AV921" s="74"/>
      <c r="AW921" s="74"/>
      <c r="AX921" s="74"/>
      <c r="AY921" s="74"/>
      <c r="AZ921" s="74"/>
    </row>
    <row r="922">
      <c r="A922" s="71"/>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c r="AJ922" s="74"/>
      <c r="AK922" s="74"/>
      <c r="AL922" s="74"/>
      <c r="AM922" s="74"/>
      <c r="AN922" s="74"/>
      <c r="AO922" s="74"/>
      <c r="AP922" s="74"/>
      <c r="AQ922" s="74"/>
      <c r="AR922" s="74"/>
      <c r="AS922" s="74"/>
      <c r="AT922" s="74"/>
      <c r="AU922" s="74"/>
      <c r="AV922" s="74"/>
      <c r="AW922" s="74"/>
      <c r="AX922" s="74"/>
      <c r="AY922" s="74"/>
      <c r="AZ922" s="74"/>
    </row>
    <row r="923">
      <c r="A923" s="71"/>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c r="AJ923" s="74"/>
      <c r="AK923" s="74"/>
      <c r="AL923" s="74"/>
      <c r="AM923" s="74"/>
      <c r="AN923" s="74"/>
      <c r="AO923" s="74"/>
      <c r="AP923" s="74"/>
      <c r="AQ923" s="74"/>
      <c r="AR923" s="74"/>
      <c r="AS923" s="74"/>
      <c r="AT923" s="74"/>
      <c r="AU923" s="74"/>
      <c r="AV923" s="74"/>
      <c r="AW923" s="74"/>
      <c r="AX923" s="74"/>
      <c r="AY923" s="74"/>
      <c r="AZ923" s="74"/>
    </row>
    <row r="924">
      <c r="A924" s="71"/>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c r="AJ924" s="74"/>
      <c r="AK924" s="74"/>
      <c r="AL924" s="74"/>
      <c r="AM924" s="74"/>
      <c r="AN924" s="74"/>
      <c r="AO924" s="74"/>
      <c r="AP924" s="74"/>
      <c r="AQ924" s="74"/>
      <c r="AR924" s="74"/>
      <c r="AS924" s="74"/>
      <c r="AT924" s="74"/>
      <c r="AU924" s="74"/>
      <c r="AV924" s="74"/>
      <c r="AW924" s="74"/>
      <c r="AX924" s="74"/>
      <c r="AY924" s="74"/>
      <c r="AZ924" s="74"/>
    </row>
    <row r="925">
      <c r="A925" s="71"/>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c r="AJ925" s="74"/>
      <c r="AK925" s="74"/>
      <c r="AL925" s="74"/>
      <c r="AM925" s="74"/>
      <c r="AN925" s="74"/>
      <c r="AO925" s="74"/>
      <c r="AP925" s="74"/>
      <c r="AQ925" s="74"/>
      <c r="AR925" s="74"/>
      <c r="AS925" s="74"/>
      <c r="AT925" s="74"/>
      <c r="AU925" s="74"/>
      <c r="AV925" s="74"/>
      <c r="AW925" s="74"/>
      <c r="AX925" s="74"/>
      <c r="AY925" s="74"/>
      <c r="AZ925" s="74"/>
    </row>
    <row r="926">
      <c r="A926" s="71"/>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c r="AJ926" s="74"/>
      <c r="AK926" s="74"/>
      <c r="AL926" s="74"/>
      <c r="AM926" s="74"/>
      <c r="AN926" s="74"/>
      <c r="AO926" s="74"/>
      <c r="AP926" s="74"/>
      <c r="AQ926" s="74"/>
      <c r="AR926" s="74"/>
      <c r="AS926" s="74"/>
      <c r="AT926" s="74"/>
      <c r="AU926" s="74"/>
      <c r="AV926" s="74"/>
      <c r="AW926" s="74"/>
      <c r="AX926" s="74"/>
      <c r="AY926" s="74"/>
      <c r="AZ926" s="74"/>
    </row>
    <row r="927">
      <c r="A927" s="71"/>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c r="AJ927" s="74"/>
      <c r="AK927" s="74"/>
      <c r="AL927" s="74"/>
      <c r="AM927" s="74"/>
      <c r="AN927" s="74"/>
      <c r="AO927" s="74"/>
      <c r="AP927" s="74"/>
      <c r="AQ927" s="74"/>
      <c r="AR927" s="74"/>
      <c r="AS927" s="74"/>
      <c r="AT927" s="74"/>
      <c r="AU927" s="74"/>
      <c r="AV927" s="74"/>
      <c r="AW927" s="74"/>
      <c r="AX927" s="74"/>
      <c r="AY927" s="74"/>
      <c r="AZ927" s="74"/>
    </row>
    <row r="928">
      <c r="A928" s="71"/>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c r="AJ928" s="74"/>
      <c r="AK928" s="74"/>
      <c r="AL928" s="74"/>
      <c r="AM928" s="74"/>
      <c r="AN928" s="74"/>
      <c r="AO928" s="74"/>
      <c r="AP928" s="74"/>
      <c r="AQ928" s="74"/>
      <c r="AR928" s="74"/>
      <c r="AS928" s="74"/>
      <c r="AT928" s="74"/>
      <c r="AU928" s="74"/>
      <c r="AV928" s="74"/>
      <c r="AW928" s="74"/>
      <c r="AX928" s="74"/>
      <c r="AY928" s="74"/>
      <c r="AZ928" s="74"/>
    </row>
    <row r="929">
      <c r="A929" s="71"/>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c r="AJ929" s="74"/>
      <c r="AK929" s="74"/>
      <c r="AL929" s="74"/>
      <c r="AM929" s="74"/>
      <c r="AN929" s="74"/>
      <c r="AO929" s="74"/>
      <c r="AP929" s="74"/>
      <c r="AQ929" s="74"/>
      <c r="AR929" s="74"/>
      <c r="AS929" s="74"/>
      <c r="AT929" s="74"/>
      <c r="AU929" s="74"/>
      <c r="AV929" s="74"/>
      <c r="AW929" s="74"/>
      <c r="AX929" s="74"/>
      <c r="AY929" s="74"/>
      <c r="AZ929" s="74"/>
    </row>
    <row r="930">
      <c r="A930" s="71"/>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c r="AJ930" s="74"/>
      <c r="AK930" s="74"/>
      <c r="AL930" s="74"/>
      <c r="AM930" s="74"/>
      <c r="AN930" s="74"/>
      <c r="AO930" s="74"/>
      <c r="AP930" s="74"/>
      <c r="AQ930" s="74"/>
      <c r="AR930" s="74"/>
      <c r="AS930" s="74"/>
      <c r="AT930" s="74"/>
      <c r="AU930" s="74"/>
      <c r="AV930" s="74"/>
      <c r="AW930" s="74"/>
      <c r="AX930" s="74"/>
      <c r="AY930" s="74"/>
      <c r="AZ930" s="74"/>
    </row>
    <row r="931">
      <c r="A931" s="71"/>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c r="AJ931" s="74"/>
      <c r="AK931" s="74"/>
      <c r="AL931" s="74"/>
      <c r="AM931" s="74"/>
      <c r="AN931" s="74"/>
      <c r="AO931" s="74"/>
      <c r="AP931" s="74"/>
      <c r="AQ931" s="74"/>
      <c r="AR931" s="74"/>
      <c r="AS931" s="74"/>
      <c r="AT931" s="74"/>
      <c r="AU931" s="74"/>
      <c r="AV931" s="74"/>
      <c r="AW931" s="74"/>
      <c r="AX931" s="74"/>
      <c r="AY931" s="74"/>
      <c r="AZ931" s="74"/>
    </row>
    <row r="932">
      <c r="A932" s="71"/>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c r="AJ932" s="74"/>
      <c r="AK932" s="74"/>
      <c r="AL932" s="74"/>
      <c r="AM932" s="74"/>
      <c r="AN932" s="74"/>
      <c r="AO932" s="74"/>
      <c r="AP932" s="74"/>
      <c r="AQ932" s="74"/>
      <c r="AR932" s="74"/>
      <c r="AS932" s="74"/>
      <c r="AT932" s="74"/>
      <c r="AU932" s="74"/>
      <c r="AV932" s="74"/>
      <c r="AW932" s="74"/>
      <c r="AX932" s="74"/>
      <c r="AY932" s="74"/>
      <c r="AZ932" s="74"/>
    </row>
    <row r="933">
      <c r="A933" s="71"/>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c r="AJ933" s="74"/>
      <c r="AK933" s="74"/>
      <c r="AL933" s="74"/>
      <c r="AM933" s="74"/>
      <c r="AN933" s="74"/>
      <c r="AO933" s="74"/>
      <c r="AP933" s="74"/>
      <c r="AQ933" s="74"/>
      <c r="AR933" s="74"/>
      <c r="AS933" s="74"/>
      <c r="AT933" s="74"/>
      <c r="AU933" s="74"/>
      <c r="AV933" s="74"/>
      <c r="AW933" s="74"/>
      <c r="AX933" s="74"/>
      <c r="AY933" s="74"/>
      <c r="AZ933" s="74"/>
    </row>
    <row r="934">
      <c r="A934" s="71"/>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c r="AJ934" s="74"/>
      <c r="AK934" s="74"/>
      <c r="AL934" s="74"/>
      <c r="AM934" s="74"/>
      <c r="AN934" s="74"/>
      <c r="AO934" s="74"/>
      <c r="AP934" s="74"/>
      <c r="AQ934" s="74"/>
      <c r="AR934" s="74"/>
      <c r="AS934" s="74"/>
      <c r="AT934" s="74"/>
      <c r="AU934" s="74"/>
      <c r="AV934" s="74"/>
      <c r="AW934" s="74"/>
      <c r="AX934" s="74"/>
      <c r="AY934" s="74"/>
      <c r="AZ934" s="74"/>
    </row>
    <row r="935">
      <c r="A935" s="71"/>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c r="AJ935" s="74"/>
      <c r="AK935" s="74"/>
      <c r="AL935" s="74"/>
      <c r="AM935" s="74"/>
      <c r="AN935" s="74"/>
      <c r="AO935" s="74"/>
      <c r="AP935" s="74"/>
      <c r="AQ935" s="74"/>
      <c r="AR935" s="74"/>
      <c r="AS935" s="74"/>
      <c r="AT935" s="74"/>
      <c r="AU935" s="74"/>
      <c r="AV935" s="74"/>
      <c r="AW935" s="74"/>
      <c r="AX935" s="74"/>
      <c r="AY935" s="74"/>
      <c r="AZ935" s="74"/>
    </row>
    <row r="936">
      <c r="A936" s="71"/>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c r="AJ936" s="74"/>
      <c r="AK936" s="74"/>
      <c r="AL936" s="74"/>
      <c r="AM936" s="74"/>
      <c r="AN936" s="74"/>
      <c r="AO936" s="74"/>
      <c r="AP936" s="74"/>
      <c r="AQ936" s="74"/>
      <c r="AR936" s="74"/>
      <c r="AS936" s="74"/>
      <c r="AT936" s="74"/>
      <c r="AU936" s="74"/>
      <c r="AV936" s="74"/>
      <c r="AW936" s="74"/>
      <c r="AX936" s="74"/>
      <c r="AY936" s="74"/>
      <c r="AZ936" s="74"/>
    </row>
    <row r="937">
      <c r="A937" s="71"/>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c r="AJ937" s="74"/>
      <c r="AK937" s="74"/>
      <c r="AL937" s="74"/>
      <c r="AM937" s="74"/>
      <c r="AN937" s="74"/>
      <c r="AO937" s="74"/>
      <c r="AP937" s="74"/>
      <c r="AQ937" s="74"/>
      <c r="AR937" s="74"/>
      <c r="AS937" s="74"/>
      <c r="AT937" s="74"/>
      <c r="AU937" s="74"/>
      <c r="AV937" s="74"/>
      <c r="AW937" s="74"/>
      <c r="AX937" s="74"/>
      <c r="AY937" s="74"/>
      <c r="AZ937" s="74"/>
    </row>
    <row r="938">
      <c r="A938" s="71"/>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c r="AJ938" s="74"/>
      <c r="AK938" s="74"/>
      <c r="AL938" s="74"/>
      <c r="AM938" s="74"/>
      <c r="AN938" s="74"/>
      <c r="AO938" s="74"/>
      <c r="AP938" s="74"/>
      <c r="AQ938" s="74"/>
      <c r="AR938" s="74"/>
      <c r="AS938" s="74"/>
      <c r="AT938" s="74"/>
      <c r="AU938" s="74"/>
      <c r="AV938" s="74"/>
      <c r="AW938" s="74"/>
      <c r="AX938" s="74"/>
      <c r="AY938" s="74"/>
      <c r="AZ938" s="74"/>
    </row>
    <row r="939">
      <c r="A939" s="71"/>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c r="AJ939" s="74"/>
      <c r="AK939" s="74"/>
      <c r="AL939" s="74"/>
      <c r="AM939" s="74"/>
      <c r="AN939" s="74"/>
      <c r="AO939" s="74"/>
      <c r="AP939" s="74"/>
      <c r="AQ939" s="74"/>
      <c r="AR939" s="74"/>
      <c r="AS939" s="74"/>
      <c r="AT939" s="74"/>
      <c r="AU939" s="74"/>
      <c r="AV939" s="74"/>
      <c r="AW939" s="74"/>
      <c r="AX939" s="74"/>
      <c r="AY939" s="74"/>
      <c r="AZ939" s="74"/>
    </row>
    <row r="940">
      <c r="A940" s="71"/>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c r="AJ940" s="74"/>
      <c r="AK940" s="74"/>
      <c r="AL940" s="74"/>
      <c r="AM940" s="74"/>
      <c r="AN940" s="74"/>
      <c r="AO940" s="74"/>
      <c r="AP940" s="74"/>
      <c r="AQ940" s="74"/>
      <c r="AR940" s="74"/>
      <c r="AS940" s="74"/>
      <c r="AT940" s="74"/>
      <c r="AU940" s="74"/>
      <c r="AV940" s="74"/>
      <c r="AW940" s="74"/>
      <c r="AX940" s="74"/>
      <c r="AY940" s="74"/>
      <c r="AZ940" s="74"/>
    </row>
    <row r="941">
      <c r="A941" s="71"/>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c r="AJ941" s="74"/>
      <c r="AK941" s="74"/>
      <c r="AL941" s="74"/>
      <c r="AM941" s="74"/>
      <c r="AN941" s="74"/>
      <c r="AO941" s="74"/>
      <c r="AP941" s="74"/>
      <c r="AQ941" s="74"/>
      <c r="AR941" s="74"/>
      <c r="AS941" s="74"/>
      <c r="AT941" s="74"/>
      <c r="AU941" s="74"/>
      <c r="AV941" s="74"/>
      <c r="AW941" s="74"/>
      <c r="AX941" s="74"/>
      <c r="AY941" s="74"/>
      <c r="AZ941" s="74"/>
    </row>
    <row r="942">
      <c r="A942" s="71"/>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c r="AJ942" s="74"/>
      <c r="AK942" s="74"/>
      <c r="AL942" s="74"/>
      <c r="AM942" s="74"/>
      <c r="AN942" s="74"/>
      <c r="AO942" s="74"/>
      <c r="AP942" s="74"/>
      <c r="AQ942" s="74"/>
      <c r="AR942" s="74"/>
      <c r="AS942" s="74"/>
      <c r="AT942" s="74"/>
      <c r="AU942" s="74"/>
      <c r="AV942" s="74"/>
      <c r="AW942" s="74"/>
      <c r="AX942" s="74"/>
      <c r="AY942" s="74"/>
      <c r="AZ942" s="74"/>
    </row>
    <row r="943">
      <c r="A943" s="71"/>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c r="AJ943" s="74"/>
      <c r="AK943" s="74"/>
      <c r="AL943" s="74"/>
      <c r="AM943" s="74"/>
      <c r="AN943" s="74"/>
      <c r="AO943" s="74"/>
      <c r="AP943" s="74"/>
      <c r="AQ943" s="74"/>
      <c r="AR943" s="74"/>
      <c r="AS943" s="74"/>
      <c r="AT943" s="74"/>
      <c r="AU943" s="74"/>
      <c r="AV943" s="74"/>
      <c r="AW943" s="74"/>
      <c r="AX943" s="74"/>
      <c r="AY943" s="74"/>
      <c r="AZ943" s="74"/>
    </row>
    <row r="944">
      <c r="A944" s="71"/>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c r="AJ944" s="74"/>
      <c r="AK944" s="74"/>
      <c r="AL944" s="74"/>
      <c r="AM944" s="74"/>
      <c r="AN944" s="74"/>
      <c r="AO944" s="74"/>
      <c r="AP944" s="74"/>
      <c r="AQ944" s="74"/>
      <c r="AR944" s="74"/>
      <c r="AS944" s="74"/>
      <c r="AT944" s="74"/>
      <c r="AU944" s="74"/>
      <c r="AV944" s="74"/>
      <c r="AW944" s="74"/>
      <c r="AX944" s="74"/>
      <c r="AY944" s="74"/>
      <c r="AZ944" s="74"/>
    </row>
    <row r="945">
      <c r="A945" s="71"/>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c r="AJ945" s="74"/>
      <c r="AK945" s="74"/>
      <c r="AL945" s="74"/>
      <c r="AM945" s="74"/>
      <c r="AN945" s="74"/>
      <c r="AO945" s="74"/>
      <c r="AP945" s="74"/>
      <c r="AQ945" s="74"/>
      <c r="AR945" s="74"/>
      <c r="AS945" s="74"/>
      <c r="AT945" s="74"/>
      <c r="AU945" s="74"/>
      <c r="AV945" s="74"/>
      <c r="AW945" s="74"/>
      <c r="AX945" s="74"/>
      <c r="AY945" s="74"/>
      <c r="AZ945" s="74"/>
    </row>
    <row r="946">
      <c r="A946" s="71"/>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c r="AJ946" s="74"/>
      <c r="AK946" s="74"/>
      <c r="AL946" s="74"/>
      <c r="AM946" s="74"/>
      <c r="AN946" s="74"/>
      <c r="AO946" s="74"/>
      <c r="AP946" s="74"/>
      <c r="AQ946" s="74"/>
      <c r="AR946" s="74"/>
      <c r="AS946" s="74"/>
      <c r="AT946" s="74"/>
      <c r="AU946" s="74"/>
      <c r="AV946" s="74"/>
      <c r="AW946" s="74"/>
      <c r="AX946" s="74"/>
      <c r="AY946" s="74"/>
      <c r="AZ946" s="74"/>
    </row>
    <row r="947">
      <c r="A947" s="71"/>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c r="AJ947" s="74"/>
      <c r="AK947" s="74"/>
      <c r="AL947" s="74"/>
      <c r="AM947" s="74"/>
      <c r="AN947" s="74"/>
      <c r="AO947" s="74"/>
      <c r="AP947" s="74"/>
      <c r="AQ947" s="74"/>
      <c r="AR947" s="74"/>
      <c r="AS947" s="74"/>
      <c r="AT947" s="74"/>
      <c r="AU947" s="74"/>
      <c r="AV947" s="74"/>
      <c r="AW947" s="74"/>
      <c r="AX947" s="74"/>
      <c r="AY947" s="74"/>
      <c r="AZ947" s="74"/>
    </row>
    <row r="948">
      <c r="A948" s="71"/>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c r="AJ948" s="74"/>
      <c r="AK948" s="74"/>
      <c r="AL948" s="74"/>
      <c r="AM948" s="74"/>
      <c r="AN948" s="74"/>
      <c r="AO948" s="74"/>
      <c r="AP948" s="74"/>
      <c r="AQ948" s="74"/>
      <c r="AR948" s="74"/>
      <c r="AS948" s="74"/>
      <c r="AT948" s="74"/>
      <c r="AU948" s="74"/>
      <c r="AV948" s="74"/>
      <c r="AW948" s="74"/>
      <c r="AX948" s="74"/>
      <c r="AY948" s="74"/>
      <c r="AZ948" s="74"/>
    </row>
    <row r="949">
      <c r="A949" s="71"/>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c r="AJ949" s="74"/>
      <c r="AK949" s="74"/>
      <c r="AL949" s="74"/>
      <c r="AM949" s="74"/>
      <c r="AN949" s="74"/>
      <c r="AO949" s="74"/>
      <c r="AP949" s="74"/>
      <c r="AQ949" s="74"/>
      <c r="AR949" s="74"/>
      <c r="AS949" s="74"/>
      <c r="AT949" s="74"/>
      <c r="AU949" s="74"/>
      <c r="AV949" s="74"/>
      <c r="AW949" s="74"/>
      <c r="AX949" s="74"/>
      <c r="AY949" s="74"/>
      <c r="AZ949" s="74"/>
    </row>
    <row r="950">
      <c r="A950" s="71"/>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c r="AJ950" s="74"/>
      <c r="AK950" s="74"/>
      <c r="AL950" s="74"/>
      <c r="AM950" s="74"/>
      <c r="AN950" s="74"/>
      <c r="AO950" s="74"/>
      <c r="AP950" s="74"/>
      <c r="AQ950" s="74"/>
      <c r="AR950" s="74"/>
      <c r="AS950" s="74"/>
      <c r="AT950" s="74"/>
      <c r="AU950" s="74"/>
      <c r="AV950" s="74"/>
      <c r="AW950" s="74"/>
      <c r="AX950" s="74"/>
      <c r="AY950" s="74"/>
      <c r="AZ950" s="74"/>
    </row>
    <row r="951">
      <c r="A951" s="71"/>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c r="AJ951" s="74"/>
      <c r="AK951" s="74"/>
      <c r="AL951" s="74"/>
      <c r="AM951" s="74"/>
      <c r="AN951" s="74"/>
      <c r="AO951" s="74"/>
      <c r="AP951" s="74"/>
      <c r="AQ951" s="74"/>
      <c r="AR951" s="74"/>
      <c r="AS951" s="74"/>
      <c r="AT951" s="74"/>
      <c r="AU951" s="74"/>
      <c r="AV951" s="74"/>
      <c r="AW951" s="74"/>
      <c r="AX951" s="74"/>
      <c r="AY951" s="74"/>
      <c r="AZ951" s="74"/>
    </row>
    <row r="952">
      <c r="A952" s="71"/>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c r="AJ952" s="74"/>
      <c r="AK952" s="74"/>
      <c r="AL952" s="74"/>
      <c r="AM952" s="74"/>
      <c r="AN952" s="74"/>
      <c r="AO952" s="74"/>
      <c r="AP952" s="74"/>
      <c r="AQ952" s="74"/>
      <c r="AR952" s="74"/>
      <c r="AS952" s="74"/>
      <c r="AT952" s="74"/>
      <c r="AU952" s="74"/>
      <c r="AV952" s="74"/>
      <c r="AW952" s="74"/>
      <c r="AX952" s="74"/>
      <c r="AY952" s="74"/>
      <c r="AZ952" s="74"/>
    </row>
    <row r="953">
      <c r="A953" s="71"/>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c r="AJ953" s="74"/>
      <c r="AK953" s="74"/>
      <c r="AL953" s="74"/>
      <c r="AM953" s="74"/>
      <c r="AN953" s="74"/>
      <c r="AO953" s="74"/>
      <c r="AP953" s="74"/>
      <c r="AQ953" s="74"/>
      <c r="AR953" s="74"/>
      <c r="AS953" s="74"/>
      <c r="AT953" s="74"/>
      <c r="AU953" s="74"/>
      <c r="AV953" s="74"/>
      <c r="AW953" s="74"/>
      <c r="AX953" s="74"/>
      <c r="AY953" s="74"/>
      <c r="AZ953" s="74"/>
    </row>
    <row r="954">
      <c r="A954" s="71"/>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c r="AJ954" s="74"/>
      <c r="AK954" s="74"/>
      <c r="AL954" s="74"/>
      <c r="AM954" s="74"/>
      <c r="AN954" s="74"/>
      <c r="AO954" s="74"/>
      <c r="AP954" s="74"/>
      <c r="AQ954" s="74"/>
      <c r="AR954" s="74"/>
      <c r="AS954" s="74"/>
      <c r="AT954" s="74"/>
      <c r="AU954" s="74"/>
      <c r="AV954" s="74"/>
      <c r="AW954" s="74"/>
      <c r="AX954" s="74"/>
      <c r="AY954" s="74"/>
      <c r="AZ954" s="74"/>
    </row>
    <row r="955">
      <c r="A955" s="71"/>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c r="AJ955" s="74"/>
      <c r="AK955" s="74"/>
      <c r="AL955" s="74"/>
      <c r="AM955" s="74"/>
      <c r="AN955" s="74"/>
      <c r="AO955" s="74"/>
      <c r="AP955" s="74"/>
      <c r="AQ955" s="74"/>
      <c r="AR955" s="74"/>
      <c r="AS955" s="74"/>
      <c r="AT955" s="74"/>
      <c r="AU955" s="74"/>
      <c r="AV955" s="74"/>
      <c r="AW955" s="74"/>
      <c r="AX955" s="74"/>
      <c r="AY955" s="74"/>
      <c r="AZ955" s="74"/>
    </row>
    <row r="956">
      <c r="A956" s="71"/>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c r="AJ956" s="74"/>
      <c r="AK956" s="74"/>
      <c r="AL956" s="74"/>
      <c r="AM956" s="74"/>
      <c r="AN956" s="74"/>
      <c r="AO956" s="74"/>
      <c r="AP956" s="74"/>
      <c r="AQ956" s="74"/>
      <c r="AR956" s="74"/>
      <c r="AS956" s="74"/>
      <c r="AT956" s="74"/>
      <c r="AU956" s="74"/>
      <c r="AV956" s="74"/>
      <c r="AW956" s="74"/>
      <c r="AX956" s="74"/>
      <c r="AY956" s="74"/>
      <c r="AZ956" s="74"/>
    </row>
    <row r="957">
      <c r="A957" s="71"/>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c r="AJ957" s="74"/>
      <c r="AK957" s="74"/>
      <c r="AL957" s="74"/>
      <c r="AM957" s="74"/>
      <c r="AN957" s="74"/>
      <c r="AO957" s="74"/>
      <c r="AP957" s="74"/>
      <c r="AQ957" s="74"/>
      <c r="AR957" s="74"/>
      <c r="AS957" s="74"/>
      <c r="AT957" s="74"/>
      <c r="AU957" s="74"/>
      <c r="AV957" s="74"/>
      <c r="AW957" s="74"/>
      <c r="AX957" s="74"/>
      <c r="AY957" s="74"/>
      <c r="AZ957" s="74"/>
    </row>
    <row r="958">
      <c r="A958" s="71"/>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c r="AJ958" s="74"/>
      <c r="AK958" s="74"/>
      <c r="AL958" s="74"/>
      <c r="AM958" s="74"/>
      <c r="AN958" s="74"/>
      <c r="AO958" s="74"/>
      <c r="AP958" s="74"/>
      <c r="AQ958" s="74"/>
      <c r="AR958" s="74"/>
      <c r="AS958" s="74"/>
      <c r="AT958" s="74"/>
      <c r="AU958" s="74"/>
      <c r="AV958" s="74"/>
      <c r="AW958" s="74"/>
      <c r="AX958" s="74"/>
      <c r="AY958" s="74"/>
      <c r="AZ958" s="74"/>
    </row>
    <row r="959">
      <c r="A959" s="71"/>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c r="AJ959" s="74"/>
      <c r="AK959" s="74"/>
      <c r="AL959" s="74"/>
      <c r="AM959" s="74"/>
      <c r="AN959" s="74"/>
      <c r="AO959" s="74"/>
      <c r="AP959" s="74"/>
      <c r="AQ959" s="74"/>
      <c r="AR959" s="74"/>
      <c r="AS959" s="74"/>
      <c r="AT959" s="74"/>
      <c r="AU959" s="74"/>
      <c r="AV959" s="74"/>
      <c r="AW959" s="74"/>
      <c r="AX959" s="74"/>
      <c r="AY959" s="74"/>
      <c r="AZ959" s="74"/>
    </row>
    <row r="960">
      <c r="A960" s="71"/>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c r="AJ960" s="74"/>
      <c r="AK960" s="74"/>
      <c r="AL960" s="74"/>
      <c r="AM960" s="74"/>
      <c r="AN960" s="74"/>
      <c r="AO960" s="74"/>
      <c r="AP960" s="74"/>
      <c r="AQ960" s="74"/>
      <c r="AR960" s="74"/>
      <c r="AS960" s="74"/>
      <c r="AT960" s="74"/>
      <c r="AU960" s="74"/>
      <c r="AV960" s="74"/>
      <c r="AW960" s="74"/>
      <c r="AX960" s="74"/>
      <c r="AY960" s="74"/>
      <c r="AZ960" s="74"/>
    </row>
    <row r="961">
      <c r="A961" s="71"/>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c r="AJ961" s="74"/>
      <c r="AK961" s="74"/>
      <c r="AL961" s="74"/>
      <c r="AM961" s="74"/>
      <c r="AN961" s="74"/>
      <c r="AO961" s="74"/>
      <c r="AP961" s="74"/>
      <c r="AQ961" s="74"/>
      <c r="AR961" s="74"/>
      <c r="AS961" s="74"/>
      <c r="AT961" s="74"/>
      <c r="AU961" s="74"/>
      <c r="AV961" s="74"/>
      <c r="AW961" s="74"/>
      <c r="AX961" s="74"/>
      <c r="AY961" s="74"/>
      <c r="AZ961" s="74"/>
    </row>
    <row r="962">
      <c r="A962" s="71"/>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c r="AJ962" s="74"/>
      <c r="AK962" s="74"/>
      <c r="AL962" s="74"/>
      <c r="AM962" s="74"/>
      <c r="AN962" s="74"/>
      <c r="AO962" s="74"/>
      <c r="AP962" s="74"/>
      <c r="AQ962" s="74"/>
      <c r="AR962" s="74"/>
      <c r="AS962" s="74"/>
      <c r="AT962" s="74"/>
      <c r="AU962" s="74"/>
      <c r="AV962" s="74"/>
      <c r="AW962" s="74"/>
      <c r="AX962" s="74"/>
      <c r="AY962" s="74"/>
      <c r="AZ962" s="74"/>
    </row>
    <row r="963">
      <c r="A963" s="71"/>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c r="AJ963" s="74"/>
      <c r="AK963" s="74"/>
      <c r="AL963" s="74"/>
      <c r="AM963" s="74"/>
      <c r="AN963" s="74"/>
      <c r="AO963" s="74"/>
      <c r="AP963" s="74"/>
      <c r="AQ963" s="74"/>
      <c r="AR963" s="74"/>
      <c r="AS963" s="74"/>
      <c r="AT963" s="74"/>
      <c r="AU963" s="74"/>
      <c r="AV963" s="74"/>
      <c r="AW963" s="74"/>
      <c r="AX963" s="74"/>
      <c r="AY963" s="74"/>
      <c r="AZ963" s="74"/>
    </row>
    <row r="964">
      <c r="A964" s="71"/>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c r="AJ964" s="74"/>
      <c r="AK964" s="74"/>
      <c r="AL964" s="74"/>
      <c r="AM964" s="74"/>
      <c r="AN964" s="74"/>
      <c r="AO964" s="74"/>
      <c r="AP964" s="74"/>
      <c r="AQ964" s="74"/>
      <c r="AR964" s="74"/>
      <c r="AS964" s="74"/>
      <c r="AT964" s="74"/>
      <c r="AU964" s="74"/>
      <c r="AV964" s="74"/>
      <c r="AW964" s="74"/>
      <c r="AX964" s="74"/>
      <c r="AY964" s="74"/>
      <c r="AZ964" s="74"/>
    </row>
    <row r="965">
      <c r="A965" s="71"/>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c r="AJ965" s="74"/>
      <c r="AK965" s="74"/>
      <c r="AL965" s="74"/>
      <c r="AM965" s="74"/>
      <c r="AN965" s="74"/>
      <c r="AO965" s="74"/>
      <c r="AP965" s="74"/>
      <c r="AQ965" s="74"/>
      <c r="AR965" s="74"/>
      <c r="AS965" s="74"/>
      <c r="AT965" s="74"/>
      <c r="AU965" s="74"/>
      <c r="AV965" s="74"/>
      <c r="AW965" s="74"/>
      <c r="AX965" s="74"/>
      <c r="AY965" s="74"/>
      <c r="AZ965" s="74"/>
    </row>
    <row r="966">
      <c r="A966" s="71"/>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c r="AJ966" s="74"/>
      <c r="AK966" s="74"/>
      <c r="AL966" s="74"/>
      <c r="AM966" s="74"/>
      <c r="AN966" s="74"/>
      <c r="AO966" s="74"/>
      <c r="AP966" s="74"/>
      <c r="AQ966" s="74"/>
      <c r="AR966" s="74"/>
      <c r="AS966" s="74"/>
      <c r="AT966" s="74"/>
      <c r="AU966" s="74"/>
      <c r="AV966" s="74"/>
      <c r="AW966" s="74"/>
      <c r="AX966" s="74"/>
      <c r="AY966" s="74"/>
      <c r="AZ966" s="74"/>
    </row>
    <row r="967">
      <c r="A967" s="71"/>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c r="AJ967" s="74"/>
      <c r="AK967" s="74"/>
      <c r="AL967" s="74"/>
      <c r="AM967" s="74"/>
      <c r="AN967" s="74"/>
      <c r="AO967" s="74"/>
      <c r="AP967" s="74"/>
      <c r="AQ967" s="74"/>
      <c r="AR967" s="74"/>
      <c r="AS967" s="74"/>
      <c r="AT967" s="74"/>
      <c r="AU967" s="74"/>
      <c r="AV967" s="74"/>
      <c r="AW967" s="74"/>
      <c r="AX967" s="74"/>
      <c r="AY967" s="74"/>
      <c r="AZ967" s="74"/>
    </row>
    <row r="968">
      <c r="A968" s="71"/>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c r="AJ968" s="74"/>
      <c r="AK968" s="74"/>
      <c r="AL968" s="74"/>
      <c r="AM968" s="74"/>
      <c r="AN968" s="74"/>
      <c r="AO968" s="74"/>
      <c r="AP968" s="74"/>
      <c r="AQ968" s="74"/>
      <c r="AR968" s="74"/>
      <c r="AS968" s="74"/>
      <c r="AT968" s="74"/>
      <c r="AU968" s="74"/>
      <c r="AV968" s="74"/>
      <c r="AW968" s="74"/>
      <c r="AX968" s="74"/>
      <c r="AY968" s="74"/>
      <c r="AZ968" s="74"/>
    </row>
    <row r="969">
      <c r="A969" s="71"/>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c r="AJ969" s="74"/>
      <c r="AK969" s="74"/>
      <c r="AL969" s="74"/>
      <c r="AM969" s="74"/>
      <c r="AN969" s="74"/>
      <c r="AO969" s="74"/>
      <c r="AP969" s="74"/>
      <c r="AQ969" s="74"/>
      <c r="AR969" s="74"/>
      <c r="AS969" s="74"/>
      <c r="AT969" s="74"/>
      <c r="AU969" s="74"/>
      <c r="AV969" s="74"/>
      <c r="AW969" s="74"/>
      <c r="AX969" s="74"/>
      <c r="AY969" s="74"/>
      <c r="AZ969" s="74"/>
    </row>
    <row r="970">
      <c r="A970" s="71"/>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c r="AJ970" s="74"/>
      <c r="AK970" s="74"/>
      <c r="AL970" s="74"/>
      <c r="AM970" s="74"/>
      <c r="AN970" s="74"/>
      <c r="AO970" s="74"/>
      <c r="AP970" s="74"/>
      <c r="AQ970" s="74"/>
      <c r="AR970" s="74"/>
      <c r="AS970" s="74"/>
      <c r="AT970" s="74"/>
      <c r="AU970" s="74"/>
      <c r="AV970" s="74"/>
      <c r="AW970" s="74"/>
      <c r="AX970" s="74"/>
      <c r="AY970" s="74"/>
      <c r="AZ970" s="74"/>
    </row>
    <row r="971">
      <c r="A971" s="71"/>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c r="AJ971" s="74"/>
      <c r="AK971" s="74"/>
      <c r="AL971" s="74"/>
      <c r="AM971" s="74"/>
      <c r="AN971" s="74"/>
      <c r="AO971" s="74"/>
      <c r="AP971" s="74"/>
      <c r="AQ971" s="74"/>
      <c r="AR971" s="74"/>
      <c r="AS971" s="74"/>
      <c r="AT971" s="74"/>
      <c r="AU971" s="74"/>
      <c r="AV971" s="74"/>
      <c r="AW971" s="74"/>
      <c r="AX971" s="74"/>
      <c r="AY971" s="74"/>
      <c r="AZ971" s="74"/>
    </row>
    <row r="972">
      <c r="A972" s="71"/>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c r="AJ972" s="74"/>
      <c r="AK972" s="74"/>
      <c r="AL972" s="74"/>
      <c r="AM972" s="74"/>
      <c r="AN972" s="74"/>
      <c r="AO972" s="74"/>
      <c r="AP972" s="74"/>
      <c r="AQ972" s="74"/>
      <c r="AR972" s="74"/>
      <c r="AS972" s="74"/>
      <c r="AT972" s="74"/>
      <c r="AU972" s="74"/>
      <c r="AV972" s="74"/>
      <c r="AW972" s="74"/>
      <c r="AX972" s="74"/>
      <c r="AY972" s="74"/>
      <c r="AZ972" s="74"/>
    </row>
    <row r="973">
      <c r="A973" s="71"/>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c r="AJ973" s="74"/>
      <c r="AK973" s="74"/>
      <c r="AL973" s="74"/>
      <c r="AM973" s="74"/>
      <c r="AN973" s="74"/>
      <c r="AO973" s="74"/>
      <c r="AP973" s="74"/>
      <c r="AQ973" s="74"/>
      <c r="AR973" s="74"/>
      <c r="AS973" s="74"/>
      <c r="AT973" s="74"/>
      <c r="AU973" s="74"/>
      <c r="AV973" s="74"/>
      <c r="AW973" s="74"/>
      <c r="AX973" s="74"/>
      <c r="AY973" s="74"/>
      <c r="AZ973" s="74"/>
    </row>
    <row r="974">
      <c r="A974" s="71"/>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c r="AJ974" s="74"/>
      <c r="AK974" s="74"/>
      <c r="AL974" s="74"/>
      <c r="AM974" s="74"/>
      <c r="AN974" s="74"/>
      <c r="AO974" s="74"/>
      <c r="AP974" s="74"/>
      <c r="AQ974" s="74"/>
      <c r="AR974" s="74"/>
      <c r="AS974" s="74"/>
      <c r="AT974" s="74"/>
      <c r="AU974" s="74"/>
      <c r="AV974" s="74"/>
      <c r="AW974" s="74"/>
      <c r="AX974" s="74"/>
      <c r="AY974" s="74"/>
      <c r="AZ974" s="74"/>
    </row>
    <row r="975">
      <c r="A975" s="71"/>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c r="AJ975" s="74"/>
      <c r="AK975" s="74"/>
      <c r="AL975" s="74"/>
      <c r="AM975" s="74"/>
      <c r="AN975" s="74"/>
      <c r="AO975" s="74"/>
      <c r="AP975" s="74"/>
      <c r="AQ975" s="74"/>
      <c r="AR975" s="74"/>
      <c r="AS975" s="74"/>
      <c r="AT975" s="74"/>
      <c r="AU975" s="74"/>
      <c r="AV975" s="74"/>
      <c r="AW975" s="74"/>
      <c r="AX975" s="74"/>
      <c r="AY975" s="74"/>
      <c r="AZ975" s="74"/>
    </row>
    <row r="976">
      <c r="A976" s="71"/>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c r="AJ976" s="74"/>
      <c r="AK976" s="74"/>
      <c r="AL976" s="74"/>
      <c r="AM976" s="74"/>
      <c r="AN976" s="74"/>
      <c r="AO976" s="74"/>
      <c r="AP976" s="74"/>
      <c r="AQ976" s="74"/>
      <c r="AR976" s="74"/>
      <c r="AS976" s="74"/>
      <c r="AT976" s="74"/>
      <c r="AU976" s="74"/>
      <c r="AV976" s="74"/>
      <c r="AW976" s="74"/>
      <c r="AX976" s="74"/>
      <c r="AY976" s="74"/>
      <c r="AZ976" s="74"/>
    </row>
    <row r="977">
      <c r="A977" s="71"/>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c r="AJ977" s="74"/>
      <c r="AK977" s="74"/>
      <c r="AL977" s="74"/>
      <c r="AM977" s="74"/>
      <c r="AN977" s="74"/>
      <c r="AO977" s="74"/>
      <c r="AP977" s="74"/>
      <c r="AQ977" s="74"/>
      <c r="AR977" s="74"/>
      <c r="AS977" s="74"/>
      <c r="AT977" s="74"/>
      <c r="AU977" s="74"/>
      <c r="AV977" s="74"/>
      <c r="AW977" s="74"/>
      <c r="AX977" s="74"/>
      <c r="AY977" s="74"/>
      <c r="AZ977" s="74"/>
    </row>
    <row r="978">
      <c r="A978" s="71"/>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c r="AJ978" s="74"/>
      <c r="AK978" s="74"/>
      <c r="AL978" s="74"/>
      <c r="AM978" s="74"/>
      <c r="AN978" s="74"/>
      <c r="AO978" s="74"/>
      <c r="AP978" s="74"/>
      <c r="AQ978" s="74"/>
      <c r="AR978" s="74"/>
      <c r="AS978" s="74"/>
      <c r="AT978" s="74"/>
      <c r="AU978" s="74"/>
      <c r="AV978" s="74"/>
      <c r="AW978" s="74"/>
      <c r="AX978" s="74"/>
      <c r="AY978" s="74"/>
      <c r="AZ978" s="74"/>
    </row>
    <row r="979">
      <c r="A979" s="71"/>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c r="AJ979" s="74"/>
      <c r="AK979" s="74"/>
      <c r="AL979" s="74"/>
      <c r="AM979" s="74"/>
      <c r="AN979" s="74"/>
      <c r="AO979" s="74"/>
      <c r="AP979" s="74"/>
      <c r="AQ979" s="74"/>
      <c r="AR979" s="74"/>
      <c r="AS979" s="74"/>
      <c r="AT979" s="74"/>
      <c r="AU979" s="74"/>
      <c r="AV979" s="74"/>
      <c r="AW979" s="74"/>
      <c r="AX979" s="74"/>
      <c r="AY979" s="74"/>
      <c r="AZ979" s="74"/>
    </row>
    <row r="980">
      <c r="A980" s="71"/>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c r="AJ980" s="74"/>
      <c r="AK980" s="74"/>
      <c r="AL980" s="74"/>
      <c r="AM980" s="74"/>
      <c r="AN980" s="74"/>
      <c r="AO980" s="74"/>
      <c r="AP980" s="74"/>
      <c r="AQ980" s="74"/>
      <c r="AR980" s="74"/>
      <c r="AS980" s="74"/>
      <c r="AT980" s="74"/>
      <c r="AU980" s="74"/>
      <c r="AV980" s="74"/>
      <c r="AW980" s="74"/>
      <c r="AX980" s="74"/>
      <c r="AY980" s="74"/>
      <c r="AZ980" s="74"/>
    </row>
    <row r="981">
      <c r="A981" s="71"/>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c r="AJ981" s="74"/>
      <c r="AK981" s="74"/>
      <c r="AL981" s="74"/>
      <c r="AM981" s="74"/>
      <c r="AN981" s="74"/>
      <c r="AO981" s="74"/>
      <c r="AP981" s="74"/>
      <c r="AQ981" s="74"/>
      <c r="AR981" s="74"/>
      <c r="AS981" s="74"/>
      <c r="AT981" s="74"/>
      <c r="AU981" s="74"/>
      <c r="AV981" s="74"/>
      <c r="AW981" s="74"/>
      <c r="AX981" s="74"/>
      <c r="AY981" s="74"/>
      <c r="AZ981" s="74"/>
    </row>
    <row r="982">
      <c r="A982" s="71"/>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c r="AM982" s="74"/>
      <c r="AN982" s="74"/>
      <c r="AO982" s="74"/>
      <c r="AP982" s="74"/>
      <c r="AQ982" s="74"/>
      <c r="AR982" s="74"/>
      <c r="AS982" s="74"/>
      <c r="AT982" s="74"/>
      <c r="AU982" s="74"/>
      <c r="AV982" s="74"/>
      <c r="AW982" s="74"/>
      <c r="AX982" s="74"/>
      <c r="AY982" s="74"/>
      <c r="AZ982" s="74"/>
    </row>
    <row r="983">
      <c r="A983" s="71"/>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c r="AJ983" s="74"/>
      <c r="AK983" s="74"/>
      <c r="AL983" s="74"/>
      <c r="AM983" s="74"/>
      <c r="AN983" s="74"/>
      <c r="AO983" s="74"/>
      <c r="AP983" s="74"/>
      <c r="AQ983" s="74"/>
      <c r="AR983" s="74"/>
      <c r="AS983" s="74"/>
      <c r="AT983" s="74"/>
      <c r="AU983" s="74"/>
      <c r="AV983" s="74"/>
      <c r="AW983" s="74"/>
      <c r="AX983" s="74"/>
      <c r="AY983" s="74"/>
      <c r="AZ983" s="74"/>
    </row>
    <row r="984">
      <c r="A984" s="71"/>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c r="AJ984" s="74"/>
      <c r="AK984" s="74"/>
      <c r="AL984" s="74"/>
      <c r="AM984" s="74"/>
      <c r="AN984" s="74"/>
      <c r="AO984" s="74"/>
      <c r="AP984" s="74"/>
      <c r="AQ984" s="74"/>
      <c r="AR984" s="74"/>
      <c r="AS984" s="74"/>
      <c r="AT984" s="74"/>
      <c r="AU984" s="74"/>
      <c r="AV984" s="74"/>
      <c r="AW984" s="74"/>
      <c r="AX984" s="74"/>
      <c r="AY984" s="74"/>
      <c r="AZ984" s="74"/>
    </row>
    <row r="985">
      <c r="A985" s="71"/>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c r="AJ985" s="74"/>
      <c r="AK985" s="74"/>
      <c r="AL985" s="74"/>
      <c r="AM985" s="74"/>
      <c r="AN985" s="74"/>
      <c r="AO985" s="74"/>
      <c r="AP985" s="74"/>
      <c r="AQ985" s="74"/>
      <c r="AR985" s="74"/>
      <c r="AS985" s="74"/>
      <c r="AT985" s="74"/>
      <c r="AU985" s="74"/>
      <c r="AV985" s="74"/>
      <c r="AW985" s="74"/>
      <c r="AX985" s="74"/>
      <c r="AY985" s="74"/>
      <c r="AZ985" s="74"/>
    </row>
    <row r="986">
      <c r="A986" s="71"/>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c r="AJ986" s="74"/>
      <c r="AK986" s="74"/>
      <c r="AL986" s="74"/>
      <c r="AM986" s="74"/>
      <c r="AN986" s="74"/>
      <c r="AO986" s="74"/>
      <c r="AP986" s="74"/>
      <c r="AQ986" s="74"/>
      <c r="AR986" s="74"/>
      <c r="AS986" s="74"/>
      <c r="AT986" s="74"/>
      <c r="AU986" s="74"/>
      <c r="AV986" s="74"/>
      <c r="AW986" s="74"/>
      <c r="AX986" s="74"/>
      <c r="AY986" s="74"/>
      <c r="AZ986" s="74"/>
    </row>
    <row r="987">
      <c r="A987" s="71"/>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c r="AJ987" s="74"/>
      <c r="AK987" s="74"/>
      <c r="AL987" s="74"/>
      <c r="AM987" s="74"/>
      <c r="AN987" s="74"/>
      <c r="AO987" s="74"/>
      <c r="AP987" s="74"/>
      <c r="AQ987" s="74"/>
      <c r="AR987" s="74"/>
      <c r="AS987" s="74"/>
      <c r="AT987" s="74"/>
      <c r="AU987" s="74"/>
      <c r="AV987" s="74"/>
      <c r="AW987" s="74"/>
      <c r="AX987" s="74"/>
      <c r="AY987" s="74"/>
      <c r="AZ987" s="74"/>
    </row>
    <row r="988">
      <c r="A988" s="71"/>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c r="AJ988" s="74"/>
      <c r="AK988" s="74"/>
      <c r="AL988" s="74"/>
      <c r="AM988" s="74"/>
      <c r="AN988" s="74"/>
      <c r="AO988" s="74"/>
      <c r="AP988" s="74"/>
      <c r="AQ988" s="74"/>
      <c r="AR988" s="74"/>
      <c r="AS988" s="74"/>
      <c r="AT988" s="74"/>
      <c r="AU988" s="74"/>
      <c r="AV988" s="74"/>
      <c r="AW988" s="74"/>
      <c r="AX988" s="74"/>
      <c r="AY988" s="74"/>
      <c r="AZ988" s="74"/>
    </row>
    <row r="989">
      <c r="A989" s="71"/>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c r="AJ989" s="74"/>
      <c r="AK989" s="74"/>
      <c r="AL989" s="74"/>
      <c r="AM989" s="74"/>
      <c r="AN989" s="74"/>
      <c r="AO989" s="74"/>
      <c r="AP989" s="74"/>
      <c r="AQ989" s="74"/>
      <c r="AR989" s="74"/>
      <c r="AS989" s="74"/>
      <c r="AT989" s="74"/>
      <c r="AU989" s="74"/>
      <c r="AV989" s="74"/>
      <c r="AW989" s="74"/>
      <c r="AX989" s="74"/>
      <c r="AY989" s="74"/>
      <c r="AZ989" s="74"/>
    </row>
    <row r="990">
      <c r="A990" s="71"/>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c r="AJ990" s="74"/>
      <c r="AK990" s="74"/>
      <c r="AL990" s="74"/>
      <c r="AM990" s="74"/>
      <c r="AN990" s="74"/>
      <c r="AO990" s="74"/>
      <c r="AP990" s="74"/>
      <c r="AQ990" s="74"/>
      <c r="AR990" s="74"/>
      <c r="AS990" s="74"/>
      <c r="AT990" s="74"/>
      <c r="AU990" s="74"/>
      <c r="AV990" s="74"/>
      <c r="AW990" s="74"/>
      <c r="AX990" s="74"/>
      <c r="AY990" s="74"/>
      <c r="AZ990" s="74"/>
    </row>
    <row r="991">
      <c r="A991" s="71"/>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c r="AJ991" s="74"/>
      <c r="AK991" s="74"/>
      <c r="AL991" s="74"/>
      <c r="AM991" s="74"/>
      <c r="AN991" s="74"/>
      <c r="AO991" s="74"/>
      <c r="AP991" s="74"/>
      <c r="AQ991" s="74"/>
      <c r="AR991" s="74"/>
      <c r="AS991" s="74"/>
      <c r="AT991" s="74"/>
      <c r="AU991" s="74"/>
      <c r="AV991" s="74"/>
      <c r="AW991" s="74"/>
      <c r="AX991" s="74"/>
      <c r="AY991" s="74"/>
      <c r="AZ991" s="74"/>
    </row>
    <row r="992">
      <c r="A992" s="71"/>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c r="AJ992" s="74"/>
      <c r="AK992" s="74"/>
      <c r="AL992" s="74"/>
      <c r="AM992" s="74"/>
      <c r="AN992" s="74"/>
      <c r="AO992" s="74"/>
      <c r="AP992" s="74"/>
      <c r="AQ992" s="74"/>
      <c r="AR992" s="74"/>
      <c r="AS992" s="74"/>
      <c r="AT992" s="74"/>
      <c r="AU992" s="74"/>
      <c r="AV992" s="74"/>
      <c r="AW992" s="74"/>
      <c r="AX992" s="74"/>
      <c r="AY992" s="74"/>
      <c r="AZ992" s="74"/>
    </row>
    <row r="993">
      <c r="A993" s="71"/>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c r="AJ993" s="74"/>
      <c r="AK993" s="74"/>
      <c r="AL993" s="74"/>
      <c r="AM993" s="74"/>
      <c r="AN993" s="74"/>
      <c r="AO993" s="74"/>
      <c r="AP993" s="74"/>
      <c r="AQ993" s="74"/>
      <c r="AR993" s="74"/>
      <c r="AS993" s="74"/>
      <c r="AT993" s="74"/>
      <c r="AU993" s="74"/>
      <c r="AV993" s="74"/>
      <c r="AW993" s="74"/>
      <c r="AX993" s="74"/>
      <c r="AY993" s="74"/>
      <c r="AZ993" s="74"/>
    </row>
    <row r="994">
      <c r="A994" s="71"/>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c r="AJ994" s="74"/>
      <c r="AK994" s="74"/>
      <c r="AL994" s="74"/>
      <c r="AM994" s="74"/>
      <c r="AN994" s="74"/>
      <c r="AO994" s="74"/>
      <c r="AP994" s="74"/>
      <c r="AQ994" s="74"/>
      <c r="AR994" s="74"/>
      <c r="AS994" s="74"/>
      <c r="AT994" s="74"/>
      <c r="AU994" s="74"/>
      <c r="AV994" s="74"/>
      <c r="AW994" s="74"/>
      <c r="AX994" s="74"/>
      <c r="AY994" s="74"/>
      <c r="AZ994" s="74"/>
    </row>
    <row r="995">
      <c r="A995" s="71"/>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c r="AJ995" s="74"/>
      <c r="AK995" s="74"/>
      <c r="AL995" s="74"/>
      <c r="AM995" s="74"/>
      <c r="AN995" s="74"/>
      <c r="AO995" s="74"/>
      <c r="AP995" s="74"/>
      <c r="AQ995" s="74"/>
      <c r="AR995" s="74"/>
      <c r="AS995" s="74"/>
      <c r="AT995" s="74"/>
      <c r="AU995" s="74"/>
      <c r="AV995" s="74"/>
      <c r="AW995" s="74"/>
      <c r="AX995" s="74"/>
      <c r="AY995" s="74"/>
      <c r="AZ995" s="74"/>
    </row>
    <row r="996">
      <c r="A996" s="71"/>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c r="AJ996" s="74"/>
      <c r="AK996" s="74"/>
      <c r="AL996" s="74"/>
      <c r="AM996" s="74"/>
      <c r="AN996" s="74"/>
      <c r="AO996" s="74"/>
      <c r="AP996" s="74"/>
      <c r="AQ996" s="74"/>
      <c r="AR996" s="74"/>
      <c r="AS996" s="74"/>
      <c r="AT996" s="74"/>
      <c r="AU996" s="74"/>
      <c r="AV996" s="74"/>
      <c r="AW996" s="74"/>
      <c r="AX996" s="74"/>
      <c r="AY996" s="74"/>
      <c r="AZ996" s="74"/>
    </row>
    <row r="997">
      <c r="A997" s="71"/>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c r="AJ997" s="74"/>
      <c r="AK997" s="74"/>
      <c r="AL997" s="74"/>
      <c r="AM997" s="74"/>
      <c r="AN997" s="74"/>
      <c r="AO997" s="74"/>
      <c r="AP997" s="74"/>
      <c r="AQ997" s="74"/>
      <c r="AR997" s="74"/>
      <c r="AS997" s="74"/>
      <c r="AT997" s="74"/>
      <c r="AU997" s="74"/>
      <c r="AV997" s="74"/>
      <c r="AW997" s="74"/>
      <c r="AX997" s="74"/>
      <c r="AY997" s="74"/>
      <c r="AZ997" s="74"/>
    </row>
    <row r="998">
      <c r="A998" s="71"/>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c r="AG998" s="74"/>
      <c r="AH998" s="74"/>
      <c r="AI998" s="74"/>
      <c r="AJ998" s="74"/>
      <c r="AK998" s="74"/>
      <c r="AL998" s="74"/>
      <c r="AM998" s="74"/>
      <c r="AN998" s="74"/>
      <c r="AO998" s="74"/>
      <c r="AP998" s="74"/>
      <c r="AQ998" s="74"/>
      <c r="AR998" s="74"/>
      <c r="AS998" s="74"/>
      <c r="AT998" s="74"/>
      <c r="AU998" s="74"/>
      <c r="AV998" s="74"/>
      <c r="AW998" s="74"/>
      <c r="AX998" s="74"/>
      <c r="AY998" s="74"/>
      <c r="AZ998" s="74"/>
    </row>
    <row r="999">
      <c r="A999" s="71"/>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c r="AH999" s="74"/>
      <c r="AI999" s="74"/>
      <c r="AJ999" s="74"/>
      <c r="AK999" s="74"/>
      <c r="AL999" s="74"/>
      <c r="AM999" s="74"/>
      <c r="AN999" s="74"/>
      <c r="AO999" s="74"/>
      <c r="AP999" s="74"/>
      <c r="AQ999" s="74"/>
      <c r="AR999" s="74"/>
      <c r="AS999" s="74"/>
      <c r="AT999" s="74"/>
      <c r="AU999" s="74"/>
      <c r="AV999" s="74"/>
      <c r="AW999" s="74"/>
      <c r="AX999" s="74"/>
      <c r="AY999" s="74"/>
      <c r="AZ999" s="7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s>
  <sheetData>
    <row r="1">
      <c r="A1" s="78" t="s">
        <v>304</v>
      </c>
      <c r="B1" s="79">
        <v>1.0</v>
      </c>
      <c r="C1" s="79">
        <v>2.0</v>
      </c>
      <c r="D1" s="79">
        <v>3.0</v>
      </c>
      <c r="E1" s="79">
        <v>4.0</v>
      </c>
      <c r="F1" s="79">
        <v>5.0</v>
      </c>
      <c r="G1" s="79">
        <v>6.0</v>
      </c>
      <c r="H1" s="79">
        <v>7.0</v>
      </c>
      <c r="I1" s="79">
        <v>8.0</v>
      </c>
      <c r="J1" s="79">
        <v>9.0</v>
      </c>
      <c r="K1" s="79">
        <v>10.0</v>
      </c>
      <c r="L1" s="79">
        <v>11.0</v>
      </c>
      <c r="M1" s="79">
        <v>12.0</v>
      </c>
      <c r="N1" s="79">
        <v>13.0</v>
      </c>
      <c r="O1" s="79">
        <v>14.0</v>
      </c>
      <c r="P1" s="79">
        <v>15.0</v>
      </c>
      <c r="Q1" s="79">
        <v>16.0</v>
      </c>
      <c r="R1" s="79">
        <v>17.0</v>
      </c>
      <c r="S1" s="79">
        <v>18.0</v>
      </c>
      <c r="T1" s="79">
        <v>19.0</v>
      </c>
      <c r="U1" s="79">
        <v>20.0</v>
      </c>
      <c r="V1" s="79">
        <v>21.0</v>
      </c>
      <c r="W1" s="79">
        <v>22.0</v>
      </c>
      <c r="X1" s="79">
        <v>23.0</v>
      </c>
      <c r="Y1" s="79">
        <v>24.0</v>
      </c>
      <c r="Z1" s="79">
        <v>25.0</v>
      </c>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row>
    <row r="2">
      <c r="A2" s="80" t="str">
        <f t="array" ref="A2:A41">Posts_Primary!B2:B999</f>
        <v>DDhx9Znow-I</v>
      </c>
      <c r="B2" s="72" t="s">
        <v>811</v>
      </c>
      <c r="C2" s="2" t="s">
        <v>812</v>
      </c>
      <c r="D2" s="2" t="s">
        <v>813</v>
      </c>
      <c r="E2" s="2" t="s">
        <v>814</v>
      </c>
      <c r="F2" s="2" t="s">
        <v>329</v>
      </c>
      <c r="G2" s="2" t="s">
        <v>815</v>
      </c>
      <c r="H2" s="2" t="s">
        <v>816</v>
      </c>
      <c r="I2" s="2" t="s">
        <v>817</v>
      </c>
      <c r="J2" s="2" t="s">
        <v>818</v>
      </c>
      <c r="K2" s="2" t="s">
        <v>819</v>
      </c>
      <c r="L2" s="2" t="s">
        <v>820</v>
      </c>
      <c r="M2" s="2" t="s">
        <v>821</v>
      </c>
      <c r="N2" s="2" t="s">
        <v>822</v>
      </c>
      <c r="O2" s="2" t="s">
        <v>506</v>
      </c>
      <c r="P2" s="2" t="s">
        <v>823</v>
      </c>
      <c r="Q2" s="2" t="s">
        <v>824</v>
      </c>
      <c r="R2" s="2" t="s">
        <v>825</v>
      </c>
      <c r="S2" s="2" t="s">
        <v>826</v>
      </c>
      <c r="T2" s="2" t="s">
        <v>827</v>
      </c>
      <c r="U2" s="2" t="s">
        <v>828</v>
      </c>
      <c r="V2" s="2" t="s">
        <v>829</v>
      </c>
      <c r="W2" s="2" t="s">
        <v>830</v>
      </c>
      <c r="X2" s="2" t="s">
        <v>831</v>
      </c>
      <c r="Y2" s="2" t="s">
        <v>832</v>
      </c>
      <c r="Z2" s="2" t="s">
        <v>833</v>
      </c>
      <c r="AA2" s="2" t="s">
        <v>483</v>
      </c>
      <c r="AB2" s="2" t="s">
        <v>335</v>
      </c>
      <c r="AC2" s="2" t="s">
        <v>834</v>
      </c>
      <c r="AD2" s="2" t="s">
        <v>835</v>
      </c>
      <c r="AE2" s="2" t="s">
        <v>836</v>
      </c>
      <c r="AF2" s="2" t="s">
        <v>837</v>
      </c>
      <c r="AG2" s="2" t="s">
        <v>838</v>
      </c>
      <c r="AH2" s="2" t="s">
        <v>839</v>
      </c>
      <c r="AI2" s="2" t="s">
        <v>840</v>
      </c>
      <c r="AJ2" s="2" t="s">
        <v>841</v>
      </c>
      <c r="AK2" s="2" t="s">
        <v>842</v>
      </c>
      <c r="AL2" s="2" t="s">
        <v>843</v>
      </c>
      <c r="AM2" s="2" t="s">
        <v>844</v>
      </c>
      <c r="AN2" s="2" t="s">
        <v>845</v>
      </c>
      <c r="AO2" s="2" t="s">
        <v>846</v>
      </c>
      <c r="AP2" s="2" t="s">
        <v>847</v>
      </c>
      <c r="AQ2" s="2" t="s">
        <v>848</v>
      </c>
      <c r="AR2" s="2" t="s">
        <v>849</v>
      </c>
      <c r="AS2" s="2" t="s">
        <v>850</v>
      </c>
      <c r="AT2" s="2" t="s">
        <v>851</v>
      </c>
      <c r="AU2" s="2" t="s">
        <v>852</v>
      </c>
      <c r="AV2" s="2" t="s">
        <v>853</v>
      </c>
      <c r="AW2" s="2" t="s">
        <v>854</v>
      </c>
      <c r="AX2" s="2" t="s">
        <v>855</v>
      </c>
      <c r="AY2" s="2" t="s">
        <v>856</v>
      </c>
      <c r="AZ2" s="2"/>
      <c r="BA2" s="2"/>
      <c r="BB2" s="2"/>
      <c r="BC2" s="2"/>
      <c r="BD2" s="2"/>
      <c r="BE2" s="2"/>
    </row>
    <row r="3">
      <c r="A3" s="81" t="s">
        <v>44</v>
      </c>
      <c r="B3" s="2" t="s">
        <v>857</v>
      </c>
      <c r="C3" s="2" t="s">
        <v>858</v>
      </c>
      <c r="D3" s="2" t="s">
        <v>859</v>
      </c>
      <c r="E3" s="2" t="s">
        <v>860</v>
      </c>
      <c r="F3" s="2" t="s">
        <v>861</v>
      </c>
      <c r="G3" s="2" t="s">
        <v>862</v>
      </c>
      <c r="H3" s="2" t="s">
        <v>863</v>
      </c>
      <c r="I3" s="2" t="s">
        <v>864</v>
      </c>
      <c r="J3" s="2" t="s">
        <v>865</v>
      </c>
      <c r="K3" s="2" t="s">
        <v>866</v>
      </c>
      <c r="L3" s="2" t="s">
        <v>867</v>
      </c>
      <c r="M3" s="2" t="s">
        <v>868</v>
      </c>
      <c r="N3" s="2" t="s">
        <v>869</v>
      </c>
      <c r="O3" s="2" t="s">
        <v>870</v>
      </c>
      <c r="P3" s="2" t="s">
        <v>871</v>
      </c>
      <c r="Q3" s="2" t="s">
        <v>448</v>
      </c>
      <c r="R3" s="2" t="s">
        <v>872</v>
      </c>
      <c r="S3" s="2" t="s">
        <v>873</v>
      </c>
      <c r="T3" s="2" t="s">
        <v>874</v>
      </c>
      <c r="U3" s="2" t="s">
        <v>326</v>
      </c>
      <c r="V3" s="2" t="s">
        <v>875</v>
      </c>
      <c r="W3" s="2" t="s">
        <v>876</v>
      </c>
      <c r="X3" s="2" t="s">
        <v>877</v>
      </c>
      <c r="Y3" s="2" t="s">
        <v>878</v>
      </c>
      <c r="Z3" s="2" t="s">
        <v>879</v>
      </c>
      <c r="AA3" s="2" t="s">
        <v>880</v>
      </c>
      <c r="AB3" s="2" t="s">
        <v>881</v>
      </c>
      <c r="AC3" s="2" t="s">
        <v>882</v>
      </c>
      <c r="AD3" s="2" t="s">
        <v>883</v>
      </c>
      <c r="AE3" s="2" t="s">
        <v>884</v>
      </c>
      <c r="AF3" s="2" t="s">
        <v>885</v>
      </c>
      <c r="AG3" s="2" t="s">
        <v>886</v>
      </c>
      <c r="AH3" s="2" t="s">
        <v>887</v>
      </c>
      <c r="AI3" s="2" t="s">
        <v>888</v>
      </c>
      <c r="AJ3" s="2" t="s">
        <v>889</v>
      </c>
      <c r="AK3" s="2" t="s">
        <v>890</v>
      </c>
      <c r="AL3" s="2" t="s">
        <v>891</v>
      </c>
      <c r="AM3" s="2" t="s">
        <v>892</v>
      </c>
      <c r="AN3" s="2" t="s">
        <v>893</v>
      </c>
      <c r="AO3" s="2" t="s">
        <v>894</v>
      </c>
      <c r="AP3" s="2" t="s">
        <v>429</v>
      </c>
      <c r="AQ3" s="2" t="s">
        <v>895</v>
      </c>
      <c r="AR3" s="2" t="s">
        <v>896</v>
      </c>
      <c r="AS3" s="2" t="s">
        <v>897</v>
      </c>
      <c r="AT3" s="2" t="s">
        <v>898</v>
      </c>
      <c r="AU3" s="2" t="s">
        <v>899</v>
      </c>
      <c r="AV3" s="2" t="s">
        <v>338</v>
      </c>
      <c r="AW3" s="2" t="s">
        <v>900</v>
      </c>
      <c r="AX3" s="2" t="s">
        <v>483</v>
      </c>
      <c r="AY3" s="2" t="s">
        <v>901</v>
      </c>
      <c r="AZ3" s="2"/>
      <c r="BA3" s="2"/>
      <c r="BB3" s="2"/>
      <c r="BC3" s="2"/>
      <c r="BD3" s="2"/>
      <c r="BE3" s="2"/>
    </row>
    <row r="4">
      <c r="A4" s="81" t="s">
        <v>51</v>
      </c>
      <c r="B4" s="2" t="s">
        <v>902</v>
      </c>
      <c r="C4" s="2" t="s">
        <v>903</v>
      </c>
      <c r="D4" s="2" t="s">
        <v>904</v>
      </c>
      <c r="E4" s="2" t="s">
        <v>905</v>
      </c>
      <c r="F4" s="2" t="s">
        <v>906</v>
      </c>
      <c r="G4" s="2" t="s">
        <v>907</v>
      </c>
      <c r="H4" s="2" t="s">
        <v>908</v>
      </c>
      <c r="I4" s="2" t="s">
        <v>909</v>
      </c>
      <c r="J4" s="2" t="s">
        <v>910</v>
      </c>
      <c r="K4" s="2" t="s">
        <v>336</v>
      </c>
      <c r="L4" s="2" t="s">
        <v>911</v>
      </c>
      <c r="M4" s="2" t="s">
        <v>912</v>
      </c>
      <c r="N4" s="2" t="s">
        <v>913</v>
      </c>
      <c r="O4" s="2" t="s">
        <v>339</v>
      </c>
      <c r="P4" s="2" t="s">
        <v>914</v>
      </c>
      <c r="Q4" s="2" t="s">
        <v>915</v>
      </c>
      <c r="R4" s="2" t="s">
        <v>333</v>
      </c>
      <c r="S4" s="2" t="s">
        <v>916</v>
      </c>
      <c r="T4" s="2" t="s">
        <v>917</v>
      </c>
      <c r="U4" s="2" t="s">
        <v>918</v>
      </c>
      <c r="V4" s="2" t="s">
        <v>919</v>
      </c>
      <c r="W4" s="2" t="s">
        <v>920</v>
      </c>
      <c r="X4" s="2" t="s">
        <v>921</v>
      </c>
      <c r="Y4" s="2" t="s">
        <v>922</v>
      </c>
      <c r="Z4" s="2" t="s">
        <v>923</v>
      </c>
      <c r="AA4" s="2" t="s">
        <v>924</v>
      </c>
      <c r="AB4" s="2" t="s">
        <v>925</v>
      </c>
      <c r="AC4" s="2" t="s">
        <v>926</v>
      </c>
      <c r="AD4" s="2" t="s">
        <v>927</v>
      </c>
      <c r="AE4" s="2" t="s">
        <v>928</v>
      </c>
      <c r="AF4" s="2" t="s">
        <v>929</v>
      </c>
      <c r="AG4" s="2" t="s">
        <v>930</v>
      </c>
      <c r="AH4" s="2" t="s">
        <v>931</v>
      </c>
      <c r="AI4" s="2" t="s">
        <v>932</v>
      </c>
      <c r="AJ4" s="2" t="s">
        <v>933</v>
      </c>
      <c r="AK4" s="2" t="s">
        <v>934</v>
      </c>
      <c r="AL4" s="2" t="s">
        <v>935</v>
      </c>
      <c r="AM4" s="2" t="s">
        <v>936</v>
      </c>
      <c r="AN4" s="2" t="s">
        <v>937</v>
      </c>
      <c r="AO4" s="2" t="s">
        <v>938</v>
      </c>
      <c r="AP4" s="2" t="s">
        <v>939</v>
      </c>
      <c r="AQ4" s="2" t="s">
        <v>940</v>
      </c>
      <c r="AR4" s="2" t="s">
        <v>941</v>
      </c>
      <c r="AS4" s="2" t="s">
        <v>942</v>
      </c>
      <c r="AT4" s="2" t="s">
        <v>338</v>
      </c>
      <c r="AU4" s="2" t="s">
        <v>943</v>
      </c>
      <c r="AV4" s="2" t="s">
        <v>944</v>
      </c>
      <c r="AW4" s="2" t="s">
        <v>945</v>
      </c>
      <c r="AX4" s="2" t="s">
        <v>946</v>
      </c>
      <c r="AY4" s="2" t="s">
        <v>947</v>
      </c>
      <c r="AZ4" s="2"/>
      <c r="BA4" s="2"/>
      <c r="BB4" s="2"/>
      <c r="BC4" s="2"/>
      <c r="BD4" s="2"/>
      <c r="BE4" s="2"/>
    </row>
    <row r="5">
      <c r="A5" s="81" t="s">
        <v>56</v>
      </c>
      <c r="B5" s="2" t="s">
        <v>948</v>
      </c>
      <c r="C5" s="2" t="s">
        <v>949</v>
      </c>
      <c r="D5" s="2" t="s">
        <v>950</v>
      </c>
      <c r="E5" s="2" t="s">
        <v>951</v>
      </c>
      <c r="F5" s="2" t="s">
        <v>952</v>
      </c>
      <c r="G5" s="2" t="s">
        <v>953</v>
      </c>
      <c r="H5" s="2" t="s">
        <v>954</v>
      </c>
      <c r="I5" s="2" t="s">
        <v>955</v>
      </c>
      <c r="J5" s="2" t="s">
        <v>956</v>
      </c>
      <c r="K5" s="2" t="s">
        <v>957</v>
      </c>
      <c r="L5" s="2" t="s">
        <v>958</v>
      </c>
      <c r="M5" s="2" t="s">
        <v>959</v>
      </c>
      <c r="N5" s="2" t="s">
        <v>960</v>
      </c>
      <c r="O5" s="2" t="s">
        <v>961</v>
      </c>
      <c r="P5" s="2" t="s">
        <v>962</v>
      </c>
      <c r="Q5" s="2" t="s">
        <v>963</v>
      </c>
      <c r="R5" s="2" t="s">
        <v>964</v>
      </c>
      <c r="S5" s="2" t="s">
        <v>965</v>
      </c>
      <c r="T5" s="2" t="s">
        <v>966</v>
      </c>
      <c r="U5" s="2" t="s">
        <v>967</v>
      </c>
      <c r="V5" s="2" t="s">
        <v>968</v>
      </c>
      <c r="W5" s="2" t="s">
        <v>969</v>
      </c>
      <c r="X5" s="2" t="s">
        <v>970</v>
      </c>
      <c r="Y5" s="2" t="s">
        <v>971</v>
      </c>
      <c r="Z5" s="2" t="s">
        <v>972</v>
      </c>
      <c r="AA5" s="2" t="s">
        <v>973</v>
      </c>
      <c r="AB5" s="2" t="s">
        <v>974</v>
      </c>
      <c r="AC5" s="2" t="s">
        <v>975</v>
      </c>
      <c r="AD5" s="2" t="s">
        <v>976</v>
      </c>
      <c r="AE5" s="2" t="s">
        <v>977</v>
      </c>
      <c r="AF5" s="2" t="s">
        <v>978</v>
      </c>
      <c r="AG5" s="2" t="s">
        <v>979</v>
      </c>
      <c r="AH5" s="2" t="s">
        <v>980</v>
      </c>
      <c r="AI5" s="2" t="s">
        <v>981</v>
      </c>
      <c r="AJ5" s="2" t="s">
        <v>982</v>
      </c>
      <c r="AK5" s="2" t="s">
        <v>983</v>
      </c>
      <c r="AL5" s="2" t="s">
        <v>984</v>
      </c>
      <c r="AM5" s="2" t="s">
        <v>985</v>
      </c>
      <c r="AN5" s="2" t="s">
        <v>986</v>
      </c>
      <c r="AO5" s="2" t="s">
        <v>987</v>
      </c>
      <c r="AP5" s="2" t="s">
        <v>988</v>
      </c>
      <c r="AQ5" s="2" t="s">
        <v>989</v>
      </c>
      <c r="AR5" s="2" t="s">
        <v>990</v>
      </c>
      <c r="AS5" s="2" t="s">
        <v>991</v>
      </c>
      <c r="AT5" s="2" t="s">
        <v>992</v>
      </c>
      <c r="AU5" s="2" t="s">
        <v>993</v>
      </c>
      <c r="AV5" s="2" t="s">
        <v>994</v>
      </c>
      <c r="AW5" s="2" t="s">
        <v>348</v>
      </c>
      <c r="AX5" s="2" t="s">
        <v>995</v>
      </c>
      <c r="AY5" s="2" t="s">
        <v>996</v>
      </c>
      <c r="AZ5" s="2"/>
      <c r="BA5" s="2"/>
      <c r="BB5" s="2"/>
      <c r="BC5" s="2"/>
      <c r="BD5" s="2"/>
      <c r="BE5" s="2"/>
    </row>
    <row r="6">
      <c r="A6" s="81" t="s">
        <v>62</v>
      </c>
      <c r="B6" s="2" t="s">
        <v>997</v>
      </c>
      <c r="C6" s="2" t="s">
        <v>998</v>
      </c>
      <c r="D6" s="2" t="s">
        <v>999</v>
      </c>
      <c r="E6" s="2" t="s">
        <v>1000</v>
      </c>
      <c r="F6" s="2" t="s">
        <v>336</v>
      </c>
      <c r="G6" s="2" t="s">
        <v>1001</v>
      </c>
      <c r="H6" s="2" t="s">
        <v>1002</v>
      </c>
      <c r="I6" s="2" t="s">
        <v>1003</v>
      </c>
      <c r="J6" s="2" t="s">
        <v>326</v>
      </c>
      <c r="K6" s="2" t="s">
        <v>1004</v>
      </c>
      <c r="L6" s="2" t="s">
        <v>1005</v>
      </c>
      <c r="M6" s="2" t="s">
        <v>1006</v>
      </c>
      <c r="N6" s="2" t="s">
        <v>1007</v>
      </c>
      <c r="O6" s="2" t="s">
        <v>338</v>
      </c>
      <c r="P6" s="2" t="s">
        <v>1008</v>
      </c>
      <c r="Q6" s="2" t="s">
        <v>1009</v>
      </c>
      <c r="R6" s="2" t="s">
        <v>311</v>
      </c>
      <c r="S6" s="2" t="s">
        <v>1010</v>
      </c>
      <c r="T6" s="2" t="s">
        <v>1011</v>
      </c>
      <c r="U6" s="2" t="s">
        <v>1012</v>
      </c>
      <c r="V6" s="2" t="s">
        <v>1013</v>
      </c>
      <c r="W6" s="2" t="s">
        <v>1014</v>
      </c>
      <c r="X6" s="2" t="s">
        <v>1015</v>
      </c>
      <c r="Y6" s="2" t="s">
        <v>1016</v>
      </c>
      <c r="Z6" s="2" t="s">
        <v>1017</v>
      </c>
      <c r="AA6" s="2" t="s">
        <v>1018</v>
      </c>
      <c r="AB6" s="2" t="s">
        <v>1019</v>
      </c>
      <c r="AC6" s="2" t="s">
        <v>1020</v>
      </c>
      <c r="AD6" s="2" t="s">
        <v>1021</v>
      </c>
      <c r="AE6" s="2"/>
      <c r="AF6" s="2"/>
      <c r="AG6" s="2"/>
      <c r="AH6" s="2"/>
      <c r="AI6" s="2"/>
      <c r="AJ6" s="2"/>
      <c r="AK6" s="2"/>
      <c r="AL6" s="2"/>
      <c r="AM6" s="2"/>
      <c r="AN6" s="2"/>
      <c r="AO6" s="2"/>
      <c r="AP6" s="2"/>
      <c r="AQ6" s="2"/>
      <c r="AR6" s="2"/>
      <c r="AS6" s="2"/>
      <c r="AT6" s="2"/>
      <c r="AU6" s="2"/>
      <c r="AV6" s="2"/>
      <c r="AW6" s="2"/>
      <c r="AX6" s="2"/>
      <c r="AY6" s="2"/>
      <c r="AZ6" s="2"/>
      <c r="BA6" s="2"/>
      <c r="BB6" s="2"/>
      <c r="BC6" s="2"/>
      <c r="BD6" s="2"/>
      <c r="BE6" s="2"/>
    </row>
    <row r="7">
      <c r="A7" s="81" t="s">
        <v>68</v>
      </c>
      <c r="B7" s="2" t="s">
        <v>1022</v>
      </c>
      <c r="C7" s="2" t="s">
        <v>514</v>
      </c>
      <c r="D7" s="2" t="s">
        <v>1023</v>
      </c>
      <c r="E7" s="2" t="s">
        <v>1024</v>
      </c>
      <c r="F7" s="2" t="s">
        <v>1025</v>
      </c>
      <c r="G7" s="2" t="s">
        <v>326</v>
      </c>
      <c r="H7" s="2" t="s">
        <v>1026</v>
      </c>
      <c r="I7" s="2" t="s">
        <v>338</v>
      </c>
      <c r="J7" s="2" t="s">
        <v>1027</v>
      </c>
      <c r="K7" s="2" t="s">
        <v>1028</v>
      </c>
      <c r="L7" s="2" t="s">
        <v>1029</v>
      </c>
      <c r="M7" s="2" t="s">
        <v>1030</v>
      </c>
      <c r="N7" s="2" t="s">
        <v>1031</v>
      </c>
      <c r="O7" s="2" t="s">
        <v>1032</v>
      </c>
      <c r="P7" s="2" t="s">
        <v>1033</v>
      </c>
      <c r="Q7" s="2" t="s">
        <v>1034</v>
      </c>
      <c r="R7" s="2" t="s">
        <v>382</v>
      </c>
      <c r="S7" s="2" t="s">
        <v>1035</v>
      </c>
      <c r="T7" s="2" t="s">
        <v>1036</v>
      </c>
      <c r="U7" s="2" t="s">
        <v>1037</v>
      </c>
      <c r="V7" s="2" t="s">
        <v>1038</v>
      </c>
      <c r="W7" s="2" t="s">
        <v>1039</v>
      </c>
      <c r="X7" s="2" t="s">
        <v>1040</v>
      </c>
      <c r="Y7" s="2" t="s">
        <v>1041</v>
      </c>
      <c r="Z7" s="2" t="s">
        <v>1042</v>
      </c>
      <c r="AA7" s="2" t="s">
        <v>342</v>
      </c>
      <c r="AB7" s="2" t="s">
        <v>1043</v>
      </c>
      <c r="AC7" s="2" t="s">
        <v>318</v>
      </c>
      <c r="AD7" s="2" t="s">
        <v>1044</v>
      </c>
      <c r="AE7" s="2" t="s">
        <v>1045</v>
      </c>
      <c r="AF7" s="2" t="s">
        <v>483</v>
      </c>
      <c r="AG7" s="2" t="s">
        <v>1046</v>
      </c>
      <c r="AH7" s="2" t="s">
        <v>1047</v>
      </c>
      <c r="AI7" s="2" t="s">
        <v>1048</v>
      </c>
      <c r="AJ7" s="2" t="s">
        <v>1049</v>
      </c>
      <c r="AK7" s="2" t="s">
        <v>1050</v>
      </c>
      <c r="AL7" s="2" t="s">
        <v>1051</v>
      </c>
      <c r="AM7" s="2" t="s">
        <v>1052</v>
      </c>
      <c r="AN7" s="2" t="s">
        <v>1053</v>
      </c>
      <c r="AO7" s="2" t="s">
        <v>1054</v>
      </c>
      <c r="AP7" s="2"/>
      <c r="AQ7" s="2"/>
      <c r="AR7" s="2"/>
      <c r="AS7" s="2"/>
      <c r="AT7" s="2"/>
      <c r="AU7" s="2"/>
      <c r="AV7" s="2"/>
      <c r="AW7" s="2"/>
      <c r="AX7" s="2"/>
      <c r="AY7" s="2"/>
      <c r="AZ7" s="2"/>
      <c r="BA7" s="2"/>
      <c r="BB7" s="2"/>
      <c r="BC7" s="2"/>
      <c r="BD7" s="2"/>
      <c r="BE7" s="2"/>
    </row>
    <row r="8">
      <c r="A8" s="81" t="s">
        <v>73</v>
      </c>
      <c r="B8" s="2" t="s">
        <v>514</v>
      </c>
      <c r="C8" s="2" t="s">
        <v>1055</v>
      </c>
      <c r="D8" s="2" t="s">
        <v>1056</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row>
    <row r="9">
      <c r="A9" s="81" t="s">
        <v>79</v>
      </c>
      <c r="B9" s="2" t="s">
        <v>1057</v>
      </c>
      <c r="C9" s="2" t="s">
        <v>1058</v>
      </c>
      <c r="D9" s="2" t="s">
        <v>1059</v>
      </c>
      <c r="E9" s="2" t="s">
        <v>1060</v>
      </c>
      <c r="F9" s="2" t="s">
        <v>1061</v>
      </c>
      <c r="G9" s="2" t="s">
        <v>1062</v>
      </c>
      <c r="H9" s="2" t="s">
        <v>1063</v>
      </c>
      <c r="I9" s="2" t="s">
        <v>1064</v>
      </c>
      <c r="J9" s="2" t="s">
        <v>318</v>
      </c>
      <c r="K9" s="2" t="s">
        <v>1065</v>
      </c>
      <c r="L9" s="2" t="s">
        <v>335</v>
      </c>
      <c r="M9" s="2" t="s">
        <v>1066</v>
      </c>
      <c r="N9" s="2" t="s">
        <v>1067</v>
      </c>
      <c r="O9" s="2" t="s">
        <v>1068</v>
      </c>
      <c r="P9" s="2" t="s">
        <v>338</v>
      </c>
      <c r="Q9" s="2" t="s">
        <v>1069</v>
      </c>
      <c r="R9" s="2" t="s">
        <v>1070</v>
      </c>
      <c r="S9" s="2" t="s">
        <v>1071</v>
      </c>
      <c r="T9" s="2" t="s">
        <v>1072</v>
      </c>
      <c r="U9" s="2" t="s">
        <v>1073</v>
      </c>
      <c r="V9" s="2" t="s">
        <v>1074</v>
      </c>
      <c r="W9" s="2" t="s">
        <v>1075</v>
      </c>
      <c r="X9" s="2" t="s">
        <v>1076</v>
      </c>
      <c r="Y9" s="2" t="s">
        <v>1077</v>
      </c>
      <c r="Z9" s="2" t="s">
        <v>1078</v>
      </c>
      <c r="AA9" s="2" t="s">
        <v>1079</v>
      </c>
      <c r="AB9" s="2" t="s">
        <v>1080</v>
      </c>
      <c r="AC9" s="2" t="s">
        <v>1081</v>
      </c>
      <c r="AD9" s="2" t="s">
        <v>1082</v>
      </c>
      <c r="AE9" s="2" t="s">
        <v>1083</v>
      </c>
      <c r="AF9" s="2" t="s">
        <v>1084</v>
      </c>
      <c r="AG9" s="2" t="s">
        <v>1085</v>
      </c>
      <c r="AH9" s="2" t="s">
        <v>1086</v>
      </c>
      <c r="AI9" s="2" t="s">
        <v>1087</v>
      </c>
      <c r="AJ9" s="2" t="s">
        <v>1088</v>
      </c>
      <c r="AK9" s="2" t="s">
        <v>1089</v>
      </c>
      <c r="AL9" s="2" t="s">
        <v>1090</v>
      </c>
      <c r="AM9" s="2" t="s">
        <v>1091</v>
      </c>
      <c r="AN9" s="2" t="s">
        <v>1092</v>
      </c>
      <c r="AO9" s="2" t="s">
        <v>1093</v>
      </c>
      <c r="AP9" s="2" t="s">
        <v>1094</v>
      </c>
      <c r="AQ9" s="2" t="s">
        <v>1095</v>
      </c>
      <c r="AR9" s="2" t="s">
        <v>1096</v>
      </c>
      <c r="AS9" s="2" t="s">
        <v>1097</v>
      </c>
      <c r="AT9" s="2" t="s">
        <v>311</v>
      </c>
      <c r="AU9" s="2" t="s">
        <v>474</v>
      </c>
      <c r="AV9" s="2" t="s">
        <v>1098</v>
      </c>
      <c r="AW9" s="2"/>
      <c r="AX9" s="2"/>
      <c r="AY9" s="2"/>
      <c r="AZ9" s="2"/>
      <c r="BA9" s="2"/>
      <c r="BB9" s="2"/>
      <c r="BC9" s="2"/>
      <c r="BD9" s="2"/>
      <c r="BE9" s="2"/>
    </row>
    <row r="10">
      <c r="A10" s="81" t="s">
        <v>84</v>
      </c>
      <c r="B10" s="2" t="s">
        <v>1099</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row>
    <row r="11">
      <c r="A11" s="81" t="s">
        <v>92</v>
      </c>
      <c r="B11" s="2" t="s">
        <v>1100</v>
      </c>
      <c r="C11" s="2" t="s">
        <v>566</v>
      </c>
      <c r="D11" s="2" t="s">
        <v>1101</v>
      </c>
      <c r="E11" s="2" t="s">
        <v>1102</v>
      </c>
      <c r="F11" s="2" t="s">
        <v>1103</v>
      </c>
      <c r="G11" s="2" t="s">
        <v>514</v>
      </c>
      <c r="H11" s="2" t="s">
        <v>1104</v>
      </c>
      <c r="I11" s="2" t="s">
        <v>1105</v>
      </c>
      <c r="J11" s="2" t="s">
        <v>1106</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row>
    <row r="12">
      <c r="A12" s="81" t="s">
        <v>1107</v>
      </c>
      <c r="B12" s="2" t="s">
        <v>1108</v>
      </c>
      <c r="C12" s="2" t="s">
        <v>1109</v>
      </c>
      <c r="D12" s="2" t="s">
        <v>1110</v>
      </c>
      <c r="E12" s="2" t="s">
        <v>1111</v>
      </c>
      <c r="F12" s="2" t="s">
        <v>1112</v>
      </c>
      <c r="G12" s="2" t="s">
        <v>1113</v>
      </c>
      <c r="H12" s="2" t="s">
        <v>1114</v>
      </c>
      <c r="I12" s="2" t="s">
        <v>1115</v>
      </c>
      <c r="J12" s="2" t="s">
        <v>318</v>
      </c>
      <c r="K12" s="2" t="s">
        <v>1116</v>
      </c>
      <c r="L12" s="2" t="s">
        <v>1117</v>
      </c>
      <c r="M12" s="2" t="s">
        <v>421</v>
      </c>
      <c r="N12" s="2" t="s">
        <v>1118</v>
      </c>
      <c r="O12" s="73" t="s">
        <v>1119</v>
      </c>
      <c r="P12" s="2" t="s">
        <v>1120</v>
      </c>
      <c r="Q12" s="2" t="s">
        <v>1121</v>
      </c>
      <c r="R12" s="2" t="s">
        <v>1122</v>
      </c>
      <c r="S12" s="2" t="s">
        <v>1123</v>
      </c>
      <c r="T12" s="2" t="s">
        <v>1124</v>
      </c>
      <c r="U12" s="2" t="s">
        <v>1125</v>
      </c>
      <c r="V12" s="2" t="s">
        <v>1126</v>
      </c>
      <c r="W12" s="2" t="s">
        <v>1127</v>
      </c>
      <c r="X12" s="2" t="s">
        <v>1128</v>
      </c>
      <c r="Y12" s="2" t="s">
        <v>1129</v>
      </c>
      <c r="Z12" s="2" t="s">
        <v>1130</v>
      </c>
      <c r="AA12" s="2" t="s">
        <v>1131</v>
      </c>
      <c r="AB12" s="2" t="s">
        <v>1132</v>
      </c>
      <c r="AC12" s="2" t="s">
        <v>1133</v>
      </c>
      <c r="AD12" s="2" t="s">
        <v>1134</v>
      </c>
      <c r="AE12" s="2" t="s">
        <v>509</v>
      </c>
      <c r="AF12" s="2" t="s">
        <v>1135</v>
      </c>
      <c r="AG12" s="2" t="s">
        <v>1136</v>
      </c>
      <c r="AH12" s="2" t="s">
        <v>1137</v>
      </c>
      <c r="AI12" s="2" t="s">
        <v>339</v>
      </c>
      <c r="AJ12" s="2" t="s">
        <v>1138</v>
      </c>
      <c r="AK12" s="2" t="s">
        <v>333</v>
      </c>
      <c r="AL12" s="2" t="s">
        <v>1139</v>
      </c>
      <c r="AM12" s="2" t="s">
        <v>1140</v>
      </c>
      <c r="AN12" s="2" t="s">
        <v>1141</v>
      </c>
      <c r="AO12" s="2" t="s">
        <v>1142</v>
      </c>
      <c r="AP12" s="2" t="s">
        <v>1143</v>
      </c>
      <c r="AQ12" s="2" t="s">
        <v>1144</v>
      </c>
      <c r="AR12" s="2" t="s">
        <v>336</v>
      </c>
      <c r="AS12" s="2" t="s">
        <v>339</v>
      </c>
      <c r="AT12" s="2" t="s">
        <v>1145</v>
      </c>
      <c r="AU12" s="2" t="s">
        <v>1146</v>
      </c>
      <c r="AV12" s="2" t="s">
        <v>474</v>
      </c>
      <c r="AW12" s="2" t="s">
        <v>638</v>
      </c>
      <c r="AX12" s="2" t="s">
        <v>1147</v>
      </c>
      <c r="AY12" s="2" t="s">
        <v>1148</v>
      </c>
      <c r="AZ12" s="2"/>
      <c r="BA12" s="2"/>
      <c r="BB12" s="2"/>
      <c r="BC12" s="2"/>
      <c r="BD12" s="2"/>
      <c r="BE12" s="2"/>
    </row>
    <row r="13">
      <c r="A13" s="81" t="s">
        <v>1149</v>
      </c>
      <c r="B13" s="2" t="s">
        <v>1150</v>
      </c>
      <c r="C13" s="2" t="s">
        <v>1151</v>
      </c>
      <c r="D13" s="2" t="s">
        <v>1147</v>
      </c>
      <c r="E13" s="2" t="s">
        <v>326</v>
      </c>
      <c r="F13" s="2" t="s">
        <v>1152</v>
      </c>
      <c r="G13" s="2" t="s">
        <v>1153</v>
      </c>
      <c r="H13" s="2" t="s">
        <v>333</v>
      </c>
      <c r="I13" s="2" t="s">
        <v>325</v>
      </c>
      <c r="J13" s="2" t="s">
        <v>1147</v>
      </c>
      <c r="K13" s="2" t="s">
        <v>1154</v>
      </c>
      <c r="L13" s="2" t="s">
        <v>1155</v>
      </c>
      <c r="M13" s="2" t="s">
        <v>1156</v>
      </c>
      <c r="N13" s="2" t="s">
        <v>1157</v>
      </c>
      <c r="O13" s="2" t="s">
        <v>1158</v>
      </c>
      <c r="P13" s="2" t="s">
        <v>338</v>
      </c>
      <c r="Q13" s="2" t="s">
        <v>1159</v>
      </c>
      <c r="R13" s="2" t="s">
        <v>318</v>
      </c>
      <c r="S13" s="2" t="s">
        <v>1160</v>
      </c>
      <c r="T13" s="2" t="s">
        <v>1161</v>
      </c>
      <c r="U13" s="2" t="s">
        <v>1162</v>
      </c>
      <c r="V13" s="2"/>
      <c r="W13" s="2"/>
      <c r="X13" s="2"/>
      <c r="Y13" s="2"/>
      <c r="Z13" s="2"/>
      <c r="AA13" s="2"/>
    </row>
    <row r="14">
      <c r="A14" s="81" t="s">
        <v>1163</v>
      </c>
      <c r="B14" s="2" t="s">
        <v>1164</v>
      </c>
      <c r="C14" s="2" t="s">
        <v>1165</v>
      </c>
      <c r="D14" s="2" t="s">
        <v>1166</v>
      </c>
      <c r="E14" s="2" t="s">
        <v>1167</v>
      </c>
      <c r="F14" s="2" t="s">
        <v>1168</v>
      </c>
      <c r="G14" s="2" t="s">
        <v>1169</v>
      </c>
      <c r="H14" s="2" t="s">
        <v>1170</v>
      </c>
      <c r="I14" s="2" t="s">
        <v>1171</v>
      </c>
      <c r="J14" s="2" t="s">
        <v>1172</v>
      </c>
      <c r="K14" s="2" t="s">
        <v>338</v>
      </c>
      <c r="L14" s="2" t="s">
        <v>317</v>
      </c>
      <c r="M14" s="2" t="s">
        <v>1173</v>
      </c>
      <c r="N14" s="2" t="s">
        <v>1174</v>
      </c>
      <c r="O14" s="2" t="s">
        <v>1175</v>
      </c>
      <c r="P14" s="2" t="s">
        <v>1176</v>
      </c>
      <c r="Q14" s="2" t="s">
        <v>1177</v>
      </c>
      <c r="R14" s="2" t="s">
        <v>1178</v>
      </c>
      <c r="S14" s="2" t="s">
        <v>1179</v>
      </c>
      <c r="T14" s="2" t="s">
        <v>1180</v>
      </c>
      <c r="U14" s="2" t="s">
        <v>1181</v>
      </c>
      <c r="V14" s="2" t="s">
        <v>1182</v>
      </c>
      <c r="W14" s="2" t="s">
        <v>1183</v>
      </c>
      <c r="X14" s="2" t="s">
        <v>1184</v>
      </c>
      <c r="Y14" s="2" t="s">
        <v>1185</v>
      </c>
      <c r="Z14" s="2" t="s">
        <v>1186</v>
      </c>
      <c r="AA14" s="2" t="s">
        <v>1187</v>
      </c>
      <c r="AB14" s="2" t="s">
        <v>1188</v>
      </c>
      <c r="AC14" s="2" t="s">
        <v>1189</v>
      </c>
      <c r="AD14" s="2" t="s">
        <v>1190</v>
      </c>
      <c r="AE14" s="2" t="s">
        <v>1191</v>
      </c>
      <c r="AF14" s="2" t="s">
        <v>1192</v>
      </c>
      <c r="AG14" s="2" t="s">
        <v>1193</v>
      </c>
      <c r="AH14" s="2" t="s">
        <v>1194</v>
      </c>
      <c r="AI14" s="2" t="s">
        <v>1195</v>
      </c>
      <c r="AJ14" s="2" t="s">
        <v>1196</v>
      </c>
      <c r="AK14" s="2" t="s">
        <v>1197</v>
      </c>
      <c r="AL14" s="2" t="s">
        <v>474</v>
      </c>
      <c r="AM14" s="2" t="s">
        <v>1198</v>
      </c>
      <c r="AN14" s="2" t="s">
        <v>1199</v>
      </c>
      <c r="AO14" s="2" t="s">
        <v>1200</v>
      </c>
      <c r="AP14" s="2" t="s">
        <v>1201</v>
      </c>
      <c r="AQ14" s="2" t="s">
        <v>483</v>
      </c>
      <c r="AR14" s="2" t="s">
        <v>336</v>
      </c>
      <c r="AS14" s="2" t="s">
        <v>318</v>
      </c>
      <c r="AT14" s="2" t="s">
        <v>318</v>
      </c>
      <c r="AU14" s="2" t="s">
        <v>1202</v>
      </c>
      <c r="AV14" s="2" t="s">
        <v>1203</v>
      </c>
    </row>
    <row r="15">
      <c r="A15" s="81" t="s">
        <v>1204</v>
      </c>
      <c r="B15" s="2" t="s">
        <v>1205</v>
      </c>
      <c r="C15" s="2" t="s">
        <v>1206</v>
      </c>
      <c r="D15" s="2" t="s">
        <v>1207</v>
      </c>
      <c r="E15" s="2" t="s">
        <v>1208</v>
      </c>
      <c r="F15" s="2" t="s">
        <v>1209</v>
      </c>
      <c r="G15" s="2" t="s">
        <v>1210</v>
      </c>
      <c r="H15" s="2" t="s">
        <v>1211</v>
      </c>
      <c r="I15" s="2" t="s">
        <v>335</v>
      </c>
      <c r="J15" s="2" t="s">
        <v>1212</v>
      </c>
      <c r="K15" s="2" t="s">
        <v>1213</v>
      </c>
      <c r="L15" s="2" t="s">
        <v>1214</v>
      </c>
      <c r="M15" s="2" t="s">
        <v>1215</v>
      </c>
      <c r="N15" s="2" t="s">
        <v>1216</v>
      </c>
      <c r="O15" s="2" t="s">
        <v>1217</v>
      </c>
      <c r="P15" s="2" t="s">
        <v>1218</v>
      </c>
      <c r="Q15" s="2" t="s">
        <v>1219</v>
      </c>
      <c r="R15" s="2" t="s">
        <v>1208</v>
      </c>
      <c r="S15" s="2" t="s">
        <v>1220</v>
      </c>
      <c r="T15" s="2" t="s">
        <v>1221</v>
      </c>
      <c r="U15" s="2" t="s">
        <v>1222</v>
      </c>
      <c r="V15" s="2" t="s">
        <v>1223</v>
      </c>
      <c r="W15" s="2" t="s">
        <v>1224</v>
      </c>
      <c r="X15" s="2" t="s">
        <v>1225</v>
      </c>
      <c r="Y15" s="2" t="s">
        <v>1226</v>
      </c>
      <c r="Z15" s="2" t="s">
        <v>1208</v>
      </c>
      <c r="AA15" s="2" t="s">
        <v>1208</v>
      </c>
      <c r="AB15" s="2" t="s">
        <v>1227</v>
      </c>
      <c r="AC15" s="2" t="s">
        <v>1228</v>
      </c>
      <c r="AD15" s="2" t="s">
        <v>1229</v>
      </c>
      <c r="AE15" s="2" t="s">
        <v>1230</v>
      </c>
      <c r="AF15" s="2" t="s">
        <v>1231</v>
      </c>
      <c r="AG15" s="2" t="s">
        <v>1232</v>
      </c>
      <c r="AH15" s="2" t="s">
        <v>1208</v>
      </c>
      <c r="AI15" s="2" t="s">
        <v>335</v>
      </c>
      <c r="AJ15" s="2" t="s">
        <v>1233</v>
      </c>
      <c r="AK15" s="2" t="s">
        <v>1234</v>
      </c>
      <c r="AL15" s="2" t="s">
        <v>1235</v>
      </c>
      <c r="AM15" s="2" t="s">
        <v>318</v>
      </c>
    </row>
    <row r="16">
      <c r="A16" s="81" t="s">
        <v>1236</v>
      </c>
      <c r="B16" s="2" t="s">
        <v>1237</v>
      </c>
      <c r="C16" s="2" t="s">
        <v>1238</v>
      </c>
      <c r="D16" s="2" t="s">
        <v>1239</v>
      </c>
      <c r="E16" s="2" t="s">
        <v>1240</v>
      </c>
      <c r="F16" s="2" t="s">
        <v>1241</v>
      </c>
      <c r="G16" s="2" t="s">
        <v>1242</v>
      </c>
      <c r="H16" s="2" t="s">
        <v>1243</v>
      </c>
      <c r="I16" s="2" t="s">
        <v>1244</v>
      </c>
      <c r="J16" s="2" t="s">
        <v>1245</v>
      </c>
      <c r="K16" s="2" t="s">
        <v>1246</v>
      </c>
      <c r="L16" s="2" t="s">
        <v>657</v>
      </c>
      <c r="M16" s="2" t="s">
        <v>1247</v>
      </c>
      <c r="N16" s="2" t="s">
        <v>1248</v>
      </c>
      <c r="O16" s="2" t="s">
        <v>1249</v>
      </c>
      <c r="P16" s="2" t="s">
        <v>1250</v>
      </c>
      <c r="Q16" s="2" t="s">
        <v>1251</v>
      </c>
      <c r="R16" s="2" t="s">
        <v>1252</v>
      </c>
      <c r="S16" s="2" t="s">
        <v>1253</v>
      </c>
      <c r="T16" s="2" t="s">
        <v>1254</v>
      </c>
      <c r="U16" s="2" t="s">
        <v>336</v>
      </c>
      <c r="V16" s="2" t="s">
        <v>1255</v>
      </c>
      <c r="W16" s="2" t="s">
        <v>1256</v>
      </c>
      <c r="X16" s="2" t="s">
        <v>1257</v>
      </c>
      <c r="Y16" s="2" t="s">
        <v>1258</v>
      </c>
      <c r="Z16" s="2" t="s">
        <v>1259</v>
      </c>
      <c r="AA16" s="2" t="s">
        <v>1260</v>
      </c>
      <c r="AB16" s="2" t="s">
        <v>1261</v>
      </c>
      <c r="AC16" s="2" t="s">
        <v>1262</v>
      </c>
      <c r="AD16" s="2" t="s">
        <v>1263</v>
      </c>
      <c r="AE16" s="2" t="s">
        <v>1264</v>
      </c>
      <c r="AF16" s="2" t="s">
        <v>1265</v>
      </c>
      <c r="AG16" s="2" t="s">
        <v>1266</v>
      </c>
      <c r="AH16" s="2" t="s">
        <v>1267</v>
      </c>
      <c r="AI16" s="2" t="s">
        <v>1268</v>
      </c>
      <c r="AJ16" s="2" t="s">
        <v>1269</v>
      </c>
      <c r="AK16" s="2" t="s">
        <v>1270</v>
      </c>
      <c r="AL16" s="2" t="s">
        <v>1271</v>
      </c>
      <c r="AM16" s="2" t="s">
        <v>1272</v>
      </c>
      <c r="AN16" s="2" t="s">
        <v>1273</v>
      </c>
      <c r="AO16" s="2" t="s">
        <v>1274</v>
      </c>
      <c r="AP16" s="2" t="s">
        <v>1275</v>
      </c>
      <c r="AQ16" s="2" t="s">
        <v>1276</v>
      </c>
      <c r="AR16" s="2" t="s">
        <v>1277</v>
      </c>
      <c r="AS16" s="2" t="s">
        <v>1278</v>
      </c>
      <c r="AT16" s="2" t="s">
        <v>1279</v>
      </c>
      <c r="AU16" s="2" t="s">
        <v>448</v>
      </c>
      <c r="AV16" s="2" t="s">
        <v>338</v>
      </c>
      <c r="AW16" s="2" t="s">
        <v>342</v>
      </c>
      <c r="AX16" s="2" t="s">
        <v>324</v>
      </c>
      <c r="AY16" s="2" t="s">
        <v>326</v>
      </c>
      <c r="AZ16" s="2"/>
      <c r="BA16" s="2"/>
      <c r="BB16" s="2"/>
      <c r="BC16" s="2"/>
      <c r="BD16" s="2"/>
      <c r="BE16" s="2"/>
    </row>
    <row r="17">
      <c r="A17" s="81" t="s">
        <v>1280</v>
      </c>
      <c r="B17" s="2" t="s">
        <v>1281</v>
      </c>
      <c r="C17" s="2" t="s">
        <v>1282</v>
      </c>
      <c r="D17" s="2" t="s">
        <v>338</v>
      </c>
      <c r="E17" s="2" t="s">
        <v>333</v>
      </c>
      <c r="F17" s="2" t="s">
        <v>424</v>
      </c>
      <c r="G17" s="2" t="s">
        <v>1283</v>
      </c>
      <c r="H17" s="2" t="s">
        <v>1284</v>
      </c>
      <c r="I17" s="2" t="s">
        <v>1285</v>
      </c>
      <c r="J17" s="2" t="s">
        <v>1286</v>
      </c>
      <c r="K17" s="2" t="s">
        <v>1287</v>
      </c>
      <c r="L17" s="2" t="s">
        <v>1288</v>
      </c>
      <c r="M17" s="2" t="s">
        <v>333</v>
      </c>
      <c r="N17" s="2" t="s">
        <v>338</v>
      </c>
      <c r="O17" s="2" t="s">
        <v>1289</v>
      </c>
      <c r="P17" s="2" t="s">
        <v>1290</v>
      </c>
      <c r="Q17" s="2" t="s">
        <v>514</v>
      </c>
      <c r="R17" s="2" t="s">
        <v>1291</v>
      </c>
      <c r="S17" s="2" t="s">
        <v>1292</v>
      </c>
      <c r="T17" s="2" t="s">
        <v>1293</v>
      </c>
      <c r="U17" s="2" t="s">
        <v>1294</v>
      </c>
      <c r="V17" s="2" t="s">
        <v>1295</v>
      </c>
      <c r="W17" s="2"/>
      <c r="X17" s="2" t="s">
        <v>380</v>
      </c>
      <c r="Y17" s="2" t="s">
        <v>1296</v>
      </c>
      <c r="Z17" s="2" t="s">
        <v>338</v>
      </c>
      <c r="AA17" s="2" t="s">
        <v>1297</v>
      </c>
      <c r="AB17" s="2" t="s">
        <v>1298</v>
      </c>
      <c r="AC17" s="2" t="s">
        <v>1299</v>
      </c>
      <c r="AD17" s="2" t="s">
        <v>1300</v>
      </c>
      <c r="AE17" s="2" t="s">
        <v>1301</v>
      </c>
      <c r="AF17" s="2" t="s">
        <v>1302</v>
      </c>
      <c r="AG17" s="2" t="s">
        <v>1303</v>
      </c>
      <c r="AH17" s="2" t="s">
        <v>1304</v>
      </c>
      <c r="AI17" s="2" t="s">
        <v>1305</v>
      </c>
      <c r="AJ17" s="2" t="s">
        <v>1306</v>
      </c>
      <c r="AK17" s="2" t="s">
        <v>333</v>
      </c>
      <c r="AL17" s="2" t="s">
        <v>1307</v>
      </c>
      <c r="AM17" s="2" t="s">
        <v>1308</v>
      </c>
      <c r="AN17" s="2" t="s">
        <v>1309</v>
      </c>
      <c r="AO17" s="2" t="s">
        <v>1310</v>
      </c>
      <c r="AP17" s="2" t="s">
        <v>1311</v>
      </c>
      <c r="AQ17" s="2" t="s">
        <v>1312</v>
      </c>
      <c r="AR17" s="2" t="s">
        <v>1313</v>
      </c>
      <c r="AS17" s="2" t="s">
        <v>1314</v>
      </c>
      <c r="AT17" s="2" t="s">
        <v>1315</v>
      </c>
    </row>
    <row r="18">
      <c r="A18" s="81" t="s">
        <v>1316</v>
      </c>
      <c r="B18" s="2" t="s">
        <v>1317</v>
      </c>
      <c r="C18" s="2" t="s">
        <v>1318</v>
      </c>
      <c r="D18" s="2" t="s">
        <v>1319</v>
      </c>
      <c r="E18" s="2" t="s">
        <v>1320</v>
      </c>
      <c r="F18" s="2" t="s">
        <v>1321</v>
      </c>
      <c r="G18" s="2" t="s">
        <v>1322</v>
      </c>
      <c r="H18" s="2" t="s">
        <v>1323</v>
      </c>
      <c r="I18" s="2" t="s">
        <v>1324</v>
      </c>
      <c r="J18" s="2" t="s">
        <v>1325</v>
      </c>
      <c r="K18" s="2" t="s">
        <v>1326</v>
      </c>
      <c r="L18" s="2" t="s">
        <v>1327</v>
      </c>
      <c r="M18" s="2" t="s">
        <v>1328</v>
      </c>
      <c r="N18" s="2" t="s">
        <v>1329</v>
      </c>
      <c r="O18" s="2" t="s">
        <v>1330</v>
      </c>
      <c r="P18" s="2"/>
      <c r="Q18" s="2"/>
      <c r="R18" s="2"/>
      <c r="S18" s="2"/>
      <c r="T18" s="2"/>
      <c r="U18" s="2"/>
      <c r="V18" s="2"/>
      <c r="W18" s="2"/>
      <c r="X18" s="2"/>
      <c r="Y18" s="2"/>
      <c r="Z18" s="2"/>
      <c r="AA18" s="2"/>
    </row>
    <row r="19">
      <c r="A19" s="81" t="s">
        <v>1331</v>
      </c>
      <c r="B19" s="2" t="s">
        <v>1332</v>
      </c>
      <c r="C19" s="2" t="s">
        <v>1333</v>
      </c>
      <c r="D19" s="2" t="s">
        <v>1334</v>
      </c>
      <c r="E19" s="2" t="s">
        <v>1335</v>
      </c>
      <c r="F19" s="2" t="s">
        <v>1336</v>
      </c>
      <c r="G19" s="2" t="s">
        <v>1337</v>
      </c>
      <c r="H19" s="2" t="s">
        <v>1338</v>
      </c>
      <c r="I19" s="2" t="s">
        <v>1339</v>
      </c>
      <c r="J19" s="2" t="s">
        <v>1340</v>
      </c>
      <c r="K19" s="2" t="s">
        <v>1341</v>
      </c>
      <c r="L19" s="2" t="s">
        <v>1342</v>
      </c>
      <c r="M19" s="2" t="s">
        <v>1343</v>
      </c>
      <c r="N19" s="2" t="s">
        <v>506</v>
      </c>
      <c r="O19" s="2" t="s">
        <v>1344</v>
      </c>
      <c r="P19" s="2" t="s">
        <v>1345</v>
      </c>
      <c r="Q19" s="2" t="s">
        <v>1346</v>
      </c>
      <c r="R19" s="2"/>
      <c r="S19" s="2" t="s">
        <v>1347</v>
      </c>
      <c r="T19" s="2" t="s">
        <v>1348</v>
      </c>
      <c r="U19" s="2" t="s">
        <v>1349</v>
      </c>
      <c r="V19" s="2"/>
      <c r="W19" s="2" t="s">
        <v>1350</v>
      </c>
      <c r="X19" s="2" t="s">
        <v>1351</v>
      </c>
      <c r="Y19" s="2" t="s">
        <v>1352</v>
      </c>
      <c r="Z19" s="2" t="s">
        <v>1353</v>
      </c>
      <c r="AA19" s="2"/>
      <c r="AB19" s="2"/>
      <c r="AC19" s="2" t="s">
        <v>1354</v>
      </c>
      <c r="AD19" s="2" t="s">
        <v>1355</v>
      </c>
      <c r="AE19" s="2" t="s">
        <v>1356</v>
      </c>
      <c r="AF19" s="2" t="s">
        <v>1357</v>
      </c>
      <c r="AG19" s="2"/>
      <c r="AH19" s="2" t="s">
        <v>1358</v>
      </c>
      <c r="AI19" s="2" t="s">
        <v>1359</v>
      </c>
      <c r="AJ19" s="2" t="s">
        <v>1360</v>
      </c>
      <c r="AK19" s="2" t="s">
        <v>1361</v>
      </c>
      <c r="AL19" s="2" t="s">
        <v>1362</v>
      </c>
      <c r="AM19" s="2" t="s">
        <v>1363</v>
      </c>
      <c r="AN19" s="2" t="s">
        <v>1364</v>
      </c>
      <c r="AO19" s="2" t="s">
        <v>1365</v>
      </c>
      <c r="AP19" s="2" t="s">
        <v>1366</v>
      </c>
      <c r="AQ19" s="2" t="s">
        <v>1367</v>
      </c>
      <c r="AR19" s="2" t="s">
        <v>1368</v>
      </c>
      <c r="AS19" s="2" t="s">
        <v>1369</v>
      </c>
      <c r="AT19" s="2" t="s">
        <v>1370</v>
      </c>
      <c r="AU19" s="2" t="s">
        <v>1371</v>
      </c>
      <c r="AV19" s="2" t="s">
        <v>1372</v>
      </c>
      <c r="AW19" s="2" t="s">
        <v>1373</v>
      </c>
      <c r="AX19" s="2" t="s">
        <v>1374</v>
      </c>
      <c r="AY19" s="2" t="s">
        <v>1375</v>
      </c>
      <c r="AZ19" s="2"/>
      <c r="BA19" s="2"/>
      <c r="BB19" s="2"/>
      <c r="BC19" s="2"/>
      <c r="BD19" s="2"/>
      <c r="BE19" s="2"/>
    </row>
    <row r="20">
      <c r="A20" s="81" t="s">
        <v>1376</v>
      </c>
      <c r="B20" s="2" t="s">
        <v>1377</v>
      </c>
      <c r="C20" s="2" t="s">
        <v>1378</v>
      </c>
      <c r="D20" s="2" t="s">
        <v>1379</v>
      </c>
      <c r="E20" s="2" t="s">
        <v>1380</v>
      </c>
      <c r="F20" s="2" t="s">
        <v>1381</v>
      </c>
      <c r="G20" s="2" t="s">
        <v>1382</v>
      </c>
      <c r="H20" s="2" t="s">
        <v>1383</v>
      </c>
      <c r="I20" s="2" t="s">
        <v>1384</v>
      </c>
      <c r="J20" s="2" t="s">
        <v>1385</v>
      </c>
      <c r="K20" s="2" t="s">
        <v>1386</v>
      </c>
      <c r="L20" s="2" t="s">
        <v>1387</v>
      </c>
      <c r="M20" s="2" t="s">
        <v>1388</v>
      </c>
      <c r="N20" s="2" t="s">
        <v>1389</v>
      </c>
      <c r="O20" s="2" t="s">
        <v>1390</v>
      </c>
      <c r="P20" s="2"/>
      <c r="Q20" s="2"/>
      <c r="R20" s="2"/>
      <c r="S20" s="2"/>
      <c r="T20" s="2"/>
      <c r="U20" s="2"/>
      <c r="V20" s="2"/>
      <c r="W20" s="2"/>
      <c r="X20" s="2"/>
      <c r="Y20" s="2"/>
      <c r="Z20" s="2"/>
      <c r="AA20" s="2"/>
    </row>
    <row r="21">
      <c r="A21" s="81" t="s">
        <v>1391</v>
      </c>
      <c r="B21" s="2" t="s">
        <v>1392</v>
      </c>
      <c r="C21" s="2" t="s">
        <v>1309</v>
      </c>
      <c r="D21" s="2" t="s">
        <v>1393</v>
      </c>
      <c r="E21" s="2" t="s">
        <v>1394</v>
      </c>
      <c r="F21" s="2" t="s">
        <v>1395</v>
      </c>
      <c r="G21" s="2" t="s">
        <v>424</v>
      </c>
      <c r="H21" s="2" t="s">
        <v>1396</v>
      </c>
      <c r="I21" s="2" t="s">
        <v>1397</v>
      </c>
      <c r="J21" s="2" t="s">
        <v>1398</v>
      </c>
      <c r="K21" s="2" t="s">
        <v>1399</v>
      </c>
      <c r="L21" s="2" t="s">
        <v>1195</v>
      </c>
      <c r="M21" s="2" t="s">
        <v>1400</v>
      </c>
      <c r="N21" s="2" t="s">
        <v>338</v>
      </c>
      <c r="O21" s="2" t="s">
        <v>1401</v>
      </c>
      <c r="P21" s="2" t="s">
        <v>1402</v>
      </c>
      <c r="Q21" s="2" t="s">
        <v>1403</v>
      </c>
      <c r="R21" s="2" t="s">
        <v>1404</v>
      </c>
      <c r="S21" s="2" t="s">
        <v>1405</v>
      </c>
      <c r="T21" s="2" t="s">
        <v>1406</v>
      </c>
      <c r="U21" s="2" t="s">
        <v>1407</v>
      </c>
      <c r="V21" s="2" t="s">
        <v>1408</v>
      </c>
      <c r="W21" s="2" t="s">
        <v>1409</v>
      </c>
      <c r="X21" s="2" t="s">
        <v>1410</v>
      </c>
      <c r="Y21" s="2" t="s">
        <v>1411</v>
      </c>
      <c r="Z21" s="2" t="s">
        <v>1412</v>
      </c>
      <c r="AA21" s="2" t="s">
        <v>1413</v>
      </c>
      <c r="AB21" s="2" t="s">
        <v>1414</v>
      </c>
      <c r="AC21" s="2" t="s">
        <v>1415</v>
      </c>
      <c r="AD21" s="2" t="s">
        <v>1416</v>
      </c>
      <c r="AE21" s="2" t="s">
        <v>1417</v>
      </c>
      <c r="AF21" s="2" t="s">
        <v>1418</v>
      </c>
      <c r="AG21" s="2" t="s">
        <v>1419</v>
      </c>
      <c r="AH21" s="2" t="s">
        <v>1420</v>
      </c>
      <c r="AI21" s="2" t="s">
        <v>1421</v>
      </c>
      <c r="AJ21" s="2" t="s">
        <v>424</v>
      </c>
      <c r="AK21" s="2" t="s">
        <v>1422</v>
      </c>
      <c r="AL21" s="2" t="s">
        <v>1423</v>
      </c>
      <c r="AM21" s="2" t="s">
        <v>1424</v>
      </c>
      <c r="AN21" s="2" t="s">
        <v>1425</v>
      </c>
      <c r="AO21" s="2" t="s">
        <v>333</v>
      </c>
      <c r="AP21" s="2" t="s">
        <v>317</v>
      </c>
      <c r="AQ21" s="2" t="s">
        <v>1426</v>
      </c>
      <c r="AR21" s="2" t="s">
        <v>1427</v>
      </c>
      <c r="AS21" s="2" t="s">
        <v>520</v>
      </c>
      <c r="AT21" s="2" t="s">
        <v>1428</v>
      </c>
    </row>
    <row r="22">
      <c r="A22" s="81" t="s">
        <v>157</v>
      </c>
    </row>
    <row r="23">
      <c r="A23" s="81" t="s">
        <v>166</v>
      </c>
    </row>
    <row r="24">
      <c r="A24" s="81" t="s">
        <v>175</v>
      </c>
    </row>
    <row r="25">
      <c r="A25" s="81" t="s">
        <v>183</v>
      </c>
    </row>
    <row r="26">
      <c r="A26" s="81" t="s">
        <v>191</v>
      </c>
    </row>
    <row r="27">
      <c r="A27" s="81" t="s">
        <v>200</v>
      </c>
    </row>
    <row r="28">
      <c r="A28" s="81" t="s">
        <v>208</v>
      </c>
    </row>
    <row r="29">
      <c r="A29" s="81" t="s">
        <v>216</v>
      </c>
    </row>
    <row r="30">
      <c r="A30" s="81" t="s">
        <v>1429</v>
      </c>
    </row>
    <row r="31">
      <c r="A31" s="81" t="s">
        <v>232</v>
      </c>
    </row>
    <row r="32">
      <c r="A32" s="81" t="s">
        <v>1430</v>
      </c>
    </row>
    <row r="33">
      <c r="A33" s="81" t="s">
        <v>1431</v>
      </c>
    </row>
    <row r="34">
      <c r="A34" s="81" t="s">
        <v>1432</v>
      </c>
    </row>
    <row r="35">
      <c r="A35" s="81" t="s">
        <v>1433</v>
      </c>
    </row>
    <row r="36">
      <c r="A36" s="81" t="s">
        <v>1434</v>
      </c>
    </row>
    <row r="37">
      <c r="A37" s="81" t="s">
        <v>1435</v>
      </c>
    </row>
    <row r="38">
      <c r="A38" s="81" t="s">
        <v>277</v>
      </c>
    </row>
    <row r="39">
      <c r="A39" s="81" t="s">
        <v>285</v>
      </c>
    </row>
    <row r="40">
      <c r="A40" s="81" t="s">
        <v>1436</v>
      </c>
    </row>
    <row r="41">
      <c r="A41" s="81" t="s">
        <v>1437</v>
      </c>
    </row>
    <row r="42">
      <c r="A42" s="81"/>
    </row>
    <row r="43">
      <c r="A43" s="81"/>
    </row>
    <row r="44">
      <c r="A44" s="81"/>
    </row>
    <row r="45">
      <c r="A45" s="81"/>
    </row>
    <row r="46">
      <c r="A46" s="81"/>
    </row>
    <row r="47">
      <c r="A47" s="81"/>
    </row>
    <row r="48">
      <c r="A48" s="81"/>
    </row>
    <row r="49">
      <c r="A49" s="81"/>
    </row>
    <row r="50">
      <c r="A50" s="81"/>
    </row>
    <row r="51">
      <c r="A51" s="81"/>
    </row>
    <row r="52">
      <c r="A52" s="81"/>
    </row>
    <row r="53">
      <c r="A53" s="81"/>
    </row>
    <row r="54">
      <c r="A54" s="81"/>
    </row>
    <row r="55">
      <c r="A55" s="81"/>
    </row>
    <row r="56">
      <c r="A56" s="81"/>
    </row>
    <row r="57">
      <c r="A57" s="81"/>
    </row>
    <row r="58">
      <c r="A58" s="81"/>
    </row>
    <row r="59">
      <c r="A59" s="81"/>
    </row>
    <row r="60">
      <c r="A60" s="81"/>
    </row>
    <row r="61">
      <c r="A61" s="81"/>
    </row>
    <row r="62">
      <c r="A62" s="81"/>
    </row>
    <row r="63">
      <c r="A63" s="81"/>
    </row>
    <row r="64">
      <c r="A64" s="81"/>
    </row>
    <row r="65">
      <c r="A65" s="81"/>
    </row>
    <row r="66">
      <c r="A66" s="81"/>
    </row>
    <row r="67">
      <c r="A67" s="81"/>
    </row>
    <row r="68">
      <c r="A68" s="81"/>
    </row>
    <row r="69">
      <c r="A69" s="81"/>
    </row>
    <row r="70">
      <c r="A70" s="81"/>
    </row>
    <row r="71">
      <c r="A71" s="81"/>
    </row>
    <row r="72">
      <c r="A72" s="81"/>
    </row>
    <row r="73">
      <c r="A73" s="81"/>
    </row>
    <row r="74">
      <c r="A74" s="81"/>
    </row>
    <row r="75">
      <c r="A75" s="81"/>
    </row>
    <row r="76">
      <c r="A76" s="81"/>
    </row>
    <row r="77">
      <c r="A77" s="81"/>
    </row>
    <row r="78">
      <c r="A78" s="81"/>
    </row>
    <row r="79">
      <c r="A79" s="81"/>
    </row>
    <row r="80">
      <c r="A80" s="81"/>
    </row>
    <row r="81">
      <c r="A81" s="81"/>
    </row>
    <row r="82">
      <c r="A82" s="81"/>
    </row>
    <row r="83">
      <c r="A83" s="81"/>
    </row>
    <row r="84">
      <c r="A84" s="81"/>
    </row>
    <row r="85">
      <c r="A85" s="81"/>
    </row>
    <row r="86">
      <c r="A86" s="81"/>
    </row>
    <row r="87">
      <c r="A87" s="81"/>
    </row>
    <row r="88">
      <c r="A88" s="81"/>
    </row>
    <row r="89">
      <c r="A89" s="81"/>
    </row>
    <row r="90">
      <c r="A90" s="81"/>
    </row>
    <row r="91">
      <c r="A91" s="81"/>
    </row>
    <row r="92">
      <c r="A92" s="81"/>
    </row>
    <row r="93">
      <c r="A93" s="81"/>
    </row>
    <row r="94">
      <c r="A94" s="81"/>
    </row>
    <row r="95">
      <c r="A95" s="81"/>
    </row>
    <row r="96">
      <c r="A96" s="81"/>
    </row>
    <row r="97">
      <c r="A97" s="81"/>
    </row>
    <row r="98">
      <c r="A98" s="81"/>
    </row>
    <row r="99">
      <c r="A99" s="81"/>
    </row>
    <row r="100">
      <c r="A100" s="81"/>
    </row>
    <row r="101">
      <c r="A101" s="81"/>
    </row>
    <row r="102">
      <c r="A102" s="81"/>
    </row>
    <row r="103">
      <c r="A103" s="81"/>
    </row>
    <row r="104">
      <c r="A104" s="81"/>
    </row>
    <row r="105">
      <c r="A105" s="81"/>
    </row>
    <row r="106">
      <c r="A106" s="81"/>
    </row>
    <row r="107">
      <c r="A107" s="81"/>
    </row>
    <row r="108">
      <c r="A108" s="81"/>
    </row>
    <row r="109">
      <c r="A109" s="81"/>
    </row>
    <row r="110">
      <c r="A110" s="81"/>
    </row>
    <row r="111">
      <c r="A111" s="81"/>
    </row>
    <row r="112">
      <c r="A112" s="81"/>
    </row>
    <row r="113">
      <c r="A113" s="81"/>
    </row>
    <row r="114">
      <c r="A114" s="81"/>
    </row>
    <row r="115">
      <c r="A115" s="81"/>
    </row>
    <row r="116">
      <c r="A116" s="81"/>
    </row>
    <row r="117">
      <c r="A117" s="81"/>
    </row>
    <row r="118">
      <c r="A118" s="81"/>
    </row>
    <row r="119">
      <c r="A119" s="81"/>
    </row>
    <row r="120">
      <c r="A120" s="81"/>
    </row>
    <row r="121">
      <c r="A121" s="81"/>
    </row>
    <row r="122">
      <c r="A122" s="81"/>
    </row>
    <row r="123">
      <c r="A123" s="81"/>
    </row>
    <row r="124">
      <c r="A124" s="81"/>
    </row>
    <row r="125">
      <c r="A125" s="81"/>
    </row>
    <row r="126">
      <c r="A126" s="81"/>
    </row>
    <row r="127">
      <c r="A127" s="81"/>
    </row>
    <row r="128">
      <c r="A128" s="81"/>
    </row>
    <row r="129">
      <c r="A129" s="81"/>
    </row>
    <row r="130">
      <c r="A130" s="81"/>
    </row>
    <row r="131">
      <c r="A131" s="81"/>
    </row>
    <row r="132">
      <c r="A132" s="81"/>
    </row>
    <row r="133">
      <c r="A133" s="81"/>
    </row>
    <row r="134">
      <c r="A134" s="81"/>
    </row>
    <row r="135">
      <c r="A135" s="81"/>
    </row>
    <row r="136">
      <c r="A136" s="81"/>
    </row>
    <row r="137">
      <c r="A137" s="81"/>
    </row>
    <row r="138">
      <c r="A138" s="81"/>
    </row>
    <row r="139">
      <c r="A139" s="81"/>
    </row>
    <row r="140">
      <c r="A140" s="81"/>
    </row>
    <row r="141">
      <c r="A141" s="81"/>
    </row>
    <row r="142">
      <c r="A142" s="81"/>
    </row>
    <row r="143">
      <c r="A143" s="81"/>
    </row>
    <row r="144">
      <c r="A144" s="81"/>
    </row>
    <row r="145">
      <c r="A145" s="81"/>
    </row>
    <row r="146">
      <c r="A146" s="81"/>
    </row>
    <row r="147">
      <c r="A147" s="81"/>
    </row>
    <row r="148">
      <c r="A148" s="81"/>
    </row>
    <row r="149">
      <c r="A149" s="81"/>
    </row>
    <row r="150">
      <c r="A150" s="81"/>
    </row>
    <row r="151">
      <c r="A151" s="81"/>
    </row>
    <row r="152">
      <c r="A152" s="81"/>
    </row>
    <row r="153">
      <c r="A153" s="81"/>
    </row>
    <row r="154">
      <c r="A154" s="81"/>
    </row>
    <row r="155">
      <c r="A155" s="81"/>
    </row>
    <row r="156">
      <c r="A156" s="81"/>
    </row>
    <row r="157">
      <c r="A157" s="81"/>
    </row>
    <row r="158">
      <c r="A158" s="81"/>
    </row>
    <row r="159">
      <c r="A159" s="81"/>
    </row>
    <row r="160">
      <c r="A160" s="81"/>
    </row>
    <row r="161">
      <c r="A161" s="81"/>
    </row>
    <row r="162">
      <c r="A162" s="81"/>
    </row>
    <row r="163">
      <c r="A163" s="81"/>
    </row>
    <row r="164">
      <c r="A164" s="81"/>
    </row>
    <row r="165">
      <c r="A165" s="81"/>
    </row>
    <row r="166">
      <c r="A166" s="81"/>
    </row>
    <row r="167">
      <c r="A167" s="81"/>
    </row>
    <row r="168">
      <c r="A168" s="81"/>
    </row>
    <row r="169">
      <c r="A169" s="81"/>
    </row>
    <row r="170">
      <c r="A170" s="81"/>
    </row>
    <row r="171">
      <c r="A171" s="81"/>
    </row>
    <row r="172">
      <c r="A172" s="81"/>
    </row>
    <row r="173">
      <c r="A173" s="81"/>
    </row>
    <row r="174">
      <c r="A174" s="81"/>
    </row>
    <row r="175">
      <c r="A175" s="81"/>
    </row>
    <row r="176">
      <c r="A176" s="81"/>
    </row>
    <row r="177">
      <c r="A177" s="81"/>
    </row>
    <row r="178">
      <c r="A178" s="81"/>
    </row>
    <row r="179">
      <c r="A179" s="81"/>
    </row>
    <row r="180">
      <c r="A180" s="81"/>
    </row>
    <row r="181">
      <c r="A181" s="81"/>
    </row>
    <row r="182">
      <c r="A182" s="81"/>
    </row>
    <row r="183">
      <c r="A183" s="81"/>
    </row>
    <row r="184">
      <c r="A184" s="81"/>
    </row>
    <row r="185">
      <c r="A185" s="81"/>
    </row>
    <row r="186">
      <c r="A186" s="81"/>
    </row>
    <row r="187">
      <c r="A187" s="81"/>
    </row>
    <row r="188">
      <c r="A188" s="81"/>
    </row>
    <row r="189">
      <c r="A189" s="81"/>
    </row>
    <row r="190">
      <c r="A190" s="81"/>
    </row>
    <row r="191">
      <c r="A191" s="81"/>
    </row>
    <row r="192">
      <c r="A192" s="81"/>
    </row>
    <row r="193">
      <c r="A193" s="81"/>
    </row>
    <row r="194">
      <c r="A194" s="81"/>
    </row>
    <row r="195">
      <c r="A195" s="81"/>
    </row>
    <row r="196">
      <c r="A196" s="81"/>
    </row>
    <row r="197">
      <c r="A197" s="81"/>
    </row>
    <row r="198">
      <c r="A198" s="81"/>
    </row>
    <row r="199">
      <c r="A199" s="81"/>
    </row>
    <row r="200">
      <c r="A200" s="81"/>
    </row>
    <row r="201">
      <c r="A201" s="81"/>
    </row>
    <row r="202">
      <c r="A202" s="81"/>
    </row>
    <row r="203">
      <c r="A203" s="81"/>
    </row>
    <row r="204">
      <c r="A204" s="81"/>
    </row>
    <row r="205">
      <c r="A205" s="81"/>
    </row>
    <row r="206">
      <c r="A206" s="81"/>
    </row>
    <row r="207">
      <c r="A207" s="81"/>
    </row>
    <row r="208">
      <c r="A208" s="81"/>
    </row>
    <row r="209">
      <c r="A209" s="81"/>
    </row>
    <row r="210">
      <c r="A210" s="81"/>
    </row>
    <row r="211">
      <c r="A211" s="81"/>
    </row>
    <row r="212">
      <c r="A212" s="81"/>
    </row>
    <row r="213">
      <c r="A213" s="81"/>
    </row>
    <row r="214">
      <c r="A214" s="81"/>
    </row>
    <row r="215">
      <c r="A215" s="81"/>
    </row>
    <row r="216">
      <c r="A216" s="81"/>
    </row>
    <row r="217">
      <c r="A217" s="81"/>
    </row>
    <row r="218">
      <c r="A218" s="81"/>
    </row>
    <row r="219">
      <c r="A219" s="81"/>
    </row>
    <row r="220">
      <c r="A220" s="81"/>
    </row>
    <row r="221">
      <c r="A221" s="81"/>
    </row>
    <row r="222">
      <c r="A222" s="81"/>
    </row>
    <row r="223">
      <c r="A223" s="81"/>
    </row>
    <row r="224">
      <c r="A224" s="81"/>
    </row>
    <row r="225">
      <c r="A225" s="81"/>
    </row>
    <row r="226">
      <c r="A226" s="81"/>
    </row>
    <row r="227">
      <c r="A227" s="81"/>
    </row>
    <row r="228">
      <c r="A228" s="81"/>
    </row>
    <row r="229">
      <c r="A229" s="81"/>
    </row>
    <row r="230">
      <c r="A230" s="81"/>
    </row>
    <row r="231">
      <c r="A231" s="81"/>
    </row>
    <row r="232">
      <c r="A232" s="81"/>
    </row>
    <row r="233">
      <c r="A233" s="81"/>
    </row>
    <row r="234">
      <c r="A234" s="81"/>
    </row>
    <row r="235">
      <c r="A235" s="81"/>
    </row>
    <row r="236">
      <c r="A236" s="81"/>
    </row>
    <row r="237">
      <c r="A237" s="81"/>
    </row>
    <row r="238">
      <c r="A238" s="81"/>
    </row>
    <row r="239">
      <c r="A239" s="81"/>
    </row>
    <row r="240">
      <c r="A240" s="81"/>
    </row>
    <row r="241">
      <c r="A241" s="81"/>
    </row>
    <row r="242">
      <c r="A242" s="81"/>
    </row>
    <row r="243">
      <c r="A243" s="81"/>
    </row>
    <row r="244">
      <c r="A244" s="81"/>
    </row>
    <row r="245">
      <c r="A245" s="81"/>
    </row>
    <row r="246">
      <c r="A246" s="81"/>
    </row>
    <row r="247">
      <c r="A247" s="81"/>
    </row>
    <row r="248">
      <c r="A248" s="81"/>
    </row>
    <row r="249">
      <c r="A249" s="81"/>
    </row>
    <row r="250">
      <c r="A250" s="81"/>
    </row>
    <row r="251">
      <c r="A251" s="81"/>
    </row>
    <row r="252">
      <c r="A252" s="81"/>
    </row>
    <row r="253">
      <c r="A253" s="81"/>
    </row>
    <row r="254">
      <c r="A254" s="81"/>
    </row>
    <row r="255">
      <c r="A255" s="81"/>
    </row>
    <row r="256">
      <c r="A256" s="81"/>
    </row>
    <row r="257">
      <c r="A257" s="81"/>
    </row>
    <row r="258">
      <c r="A258" s="81"/>
    </row>
    <row r="259">
      <c r="A259" s="81"/>
    </row>
    <row r="260">
      <c r="A260" s="81"/>
    </row>
    <row r="261">
      <c r="A261" s="81"/>
    </row>
    <row r="262">
      <c r="A262" s="81"/>
    </row>
    <row r="263">
      <c r="A263" s="81"/>
    </row>
    <row r="264">
      <c r="A264" s="81"/>
    </row>
    <row r="265">
      <c r="A265" s="81"/>
    </row>
    <row r="266">
      <c r="A266" s="81"/>
    </row>
    <row r="267">
      <c r="A267" s="81"/>
    </row>
    <row r="268">
      <c r="A268" s="81"/>
    </row>
    <row r="269">
      <c r="A269" s="81"/>
    </row>
    <row r="270">
      <c r="A270" s="81"/>
    </row>
    <row r="271">
      <c r="A271" s="81"/>
    </row>
    <row r="272">
      <c r="A272" s="81"/>
    </row>
    <row r="273">
      <c r="A273" s="81"/>
    </row>
    <row r="274">
      <c r="A274" s="81"/>
    </row>
    <row r="275">
      <c r="A275" s="81"/>
    </row>
    <row r="276">
      <c r="A276" s="81"/>
    </row>
    <row r="277">
      <c r="A277" s="81"/>
    </row>
    <row r="278">
      <c r="A278" s="81"/>
    </row>
    <row r="279">
      <c r="A279" s="81"/>
    </row>
    <row r="280">
      <c r="A280" s="81"/>
    </row>
    <row r="281">
      <c r="A281" s="81"/>
    </row>
    <row r="282">
      <c r="A282" s="81"/>
    </row>
    <row r="283">
      <c r="A283" s="81"/>
    </row>
    <row r="284">
      <c r="A284" s="81"/>
    </row>
    <row r="285">
      <c r="A285" s="81"/>
    </row>
    <row r="286">
      <c r="A286" s="81"/>
    </row>
    <row r="287">
      <c r="A287" s="81"/>
    </row>
    <row r="288">
      <c r="A288" s="81"/>
    </row>
    <row r="289">
      <c r="A289" s="81"/>
    </row>
    <row r="290">
      <c r="A290" s="81"/>
    </row>
    <row r="291">
      <c r="A291" s="81"/>
    </row>
    <row r="292">
      <c r="A292" s="81"/>
    </row>
    <row r="293">
      <c r="A293" s="81"/>
    </row>
    <row r="294">
      <c r="A294" s="81"/>
    </row>
    <row r="295">
      <c r="A295" s="81"/>
    </row>
    <row r="296">
      <c r="A296" s="81"/>
    </row>
    <row r="297">
      <c r="A297" s="81"/>
    </row>
    <row r="298">
      <c r="A298" s="81"/>
    </row>
    <row r="299">
      <c r="A299" s="81"/>
    </row>
    <row r="300">
      <c r="A300" s="81"/>
    </row>
    <row r="301">
      <c r="A301" s="81"/>
    </row>
    <row r="302">
      <c r="A302" s="81"/>
    </row>
    <row r="303">
      <c r="A303" s="81"/>
    </row>
    <row r="304">
      <c r="A304" s="81"/>
    </row>
    <row r="305">
      <c r="A305" s="81"/>
    </row>
    <row r="306">
      <c r="A306" s="81"/>
    </row>
    <row r="307">
      <c r="A307" s="81"/>
    </row>
    <row r="308">
      <c r="A308" s="81"/>
    </row>
    <row r="309">
      <c r="A309" s="81"/>
    </row>
    <row r="310">
      <c r="A310" s="81"/>
    </row>
    <row r="311">
      <c r="A311" s="81"/>
    </row>
    <row r="312">
      <c r="A312" s="81"/>
    </row>
    <row r="313">
      <c r="A313" s="81"/>
    </row>
    <row r="314">
      <c r="A314" s="81"/>
    </row>
    <row r="315">
      <c r="A315" s="81"/>
    </row>
    <row r="316">
      <c r="A316" s="81"/>
    </row>
    <row r="317">
      <c r="A317" s="81"/>
    </row>
    <row r="318">
      <c r="A318" s="81"/>
    </row>
    <row r="319">
      <c r="A319" s="81"/>
    </row>
    <row r="320">
      <c r="A320" s="81"/>
    </row>
    <row r="321">
      <c r="A321" s="81"/>
    </row>
    <row r="322">
      <c r="A322" s="81"/>
    </row>
    <row r="323">
      <c r="A323" s="81"/>
    </row>
    <row r="324">
      <c r="A324" s="81"/>
    </row>
    <row r="325">
      <c r="A325" s="81"/>
    </row>
    <row r="326">
      <c r="A326" s="81"/>
    </row>
    <row r="327">
      <c r="A327" s="81"/>
    </row>
    <row r="328">
      <c r="A328" s="81"/>
    </row>
    <row r="329">
      <c r="A329" s="81"/>
    </row>
    <row r="330">
      <c r="A330" s="81"/>
    </row>
    <row r="331">
      <c r="A331" s="81"/>
    </row>
    <row r="332">
      <c r="A332" s="81"/>
    </row>
    <row r="333">
      <c r="A333" s="81"/>
    </row>
    <row r="334">
      <c r="A334" s="81"/>
    </row>
    <row r="335">
      <c r="A335" s="81"/>
    </row>
    <row r="336">
      <c r="A336" s="81"/>
    </row>
    <row r="337">
      <c r="A337" s="81"/>
    </row>
    <row r="338">
      <c r="A338" s="81"/>
    </row>
    <row r="339">
      <c r="A339" s="81"/>
    </row>
    <row r="340">
      <c r="A340" s="81"/>
    </row>
    <row r="341">
      <c r="A341" s="81"/>
    </row>
    <row r="342">
      <c r="A342" s="81"/>
    </row>
    <row r="343">
      <c r="A343" s="81"/>
    </row>
    <row r="344">
      <c r="A344" s="81"/>
    </row>
    <row r="345">
      <c r="A345" s="81"/>
    </row>
    <row r="346">
      <c r="A346" s="81"/>
    </row>
    <row r="347">
      <c r="A347" s="81"/>
    </row>
    <row r="348">
      <c r="A348" s="81"/>
    </row>
    <row r="349">
      <c r="A349" s="81"/>
    </row>
    <row r="350">
      <c r="A350" s="81"/>
    </row>
    <row r="351">
      <c r="A351" s="81"/>
    </row>
    <row r="352">
      <c r="A352" s="81"/>
    </row>
    <row r="353">
      <c r="A353" s="81"/>
    </row>
    <row r="354">
      <c r="A354" s="81"/>
    </row>
    <row r="355">
      <c r="A355" s="81"/>
    </row>
    <row r="356">
      <c r="A356" s="81"/>
    </row>
    <row r="357">
      <c r="A357" s="81"/>
    </row>
    <row r="358">
      <c r="A358" s="81"/>
    </row>
    <row r="359">
      <c r="A359" s="81"/>
    </row>
    <row r="360">
      <c r="A360" s="81"/>
    </row>
    <row r="361">
      <c r="A361" s="81"/>
    </row>
    <row r="362">
      <c r="A362" s="81"/>
    </row>
    <row r="363">
      <c r="A363" s="81"/>
    </row>
    <row r="364">
      <c r="A364" s="81"/>
    </row>
    <row r="365">
      <c r="A365" s="81"/>
    </row>
    <row r="366">
      <c r="A366" s="81"/>
    </row>
    <row r="367">
      <c r="A367" s="81"/>
    </row>
    <row r="368">
      <c r="A368" s="81"/>
    </row>
    <row r="369">
      <c r="A369" s="81"/>
    </row>
    <row r="370">
      <c r="A370" s="81"/>
    </row>
    <row r="371">
      <c r="A371" s="81"/>
    </row>
    <row r="372">
      <c r="A372" s="81"/>
    </row>
    <row r="373">
      <c r="A373" s="81"/>
    </row>
    <row r="374">
      <c r="A374" s="81"/>
    </row>
    <row r="375">
      <c r="A375" s="81"/>
    </row>
    <row r="376">
      <c r="A376" s="81"/>
    </row>
    <row r="377">
      <c r="A377" s="81"/>
    </row>
    <row r="378">
      <c r="A378" s="81"/>
    </row>
    <row r="379">
      <c r="A379" s="81"/>
    </row>
    <row r="380">
      <c r="A380" s="81"/>
    </row>
    <row r="381">
      <c r="A381" s="81"/>
    </row>
    <row r="382">
      <c r="A382" s="81"/>
    </row>
    <row r="383">
      <c r="A383" s="81"/>
    </row>
    <row r="384">
      <c r="A384" s="81"/>
    </row>
    <row r="385">
      <c r="A385" s="81"/>
    </row>
    <row r="386">
      <c r="A386" s="81"/>
    </row>
    <row r="387">
      <c r="A387" s="81"/>
    </row>
    <row r="388">
      <c r="A388" s="81"/>
    </row>
    <row r="389">
      <c r="A389" s="81"/>
    </row>
    <row r="390">
      <c r="A390" s="81"/>
    </row>
    <row r="391">
      <c r="A391" s="81"/>
    </row>
    <row r="392">
      <c r="A392" s="81"/>
    </row>
    <row r="393">
      <c r="A393" s="81"/>
    </row>
    <row r="394">
      <c r="A394" s="81"/>
    </row>
    <row r="395">
      <c r="A395" s="81"/>
    </row>
    <row r="396">
      <c r="A396" s="81"/>
    </row>
    <row r="397">
      <c r="A397" s="81"/>
    </row>
    <row r="398">
      <c r="A398" s="81"/>
    </row>
    <row r="399">
      <c r="A399" s="81"/>
    </row>
    <row r="400">
      <c r="A400" s="81"/>
    </row>
    <row r="401">
      <c r="A401" s="81"/>
    </row>
    <row r="402">
      <c r="A402" s="81"/>
    </row>
    <row r="403">
      <c r="A403" s="81"/>
    </row>
    <row r="404">
      <c r="A404" s="81"/>
    </row>
    <row r="405">
      <c r="A405" s="81"/>
    </row>
    <row r="406">
      <c r="A406" s="81"/>
    </row>
    <row r="407">
      <c r="A407" s="81"/>
    </row>
    <row r="408">
      <c r="A408" s="81"/>
    </row>
    <row r="409">
      <c r="A409" s="81"/>
    </row>
    <row r="410">
      <c r="A410" s="81"/>
    </row>
    <row r="411">
      <c r="A411" s="81"/>
    </row>
    <row r="412">
      <c r="A412" s="81"/>
    </row>
    <row r="413">
      <c r="A413" s="81"/>
    </row>
    <row r="414">
      <c r="A414" s="81"/>
    </row>
    <row r="415">
      <c r="A415" s="81"/>
    </row>
    <row r="416">
      <c r="A416" s="81"/>
    </row>
    <row r="417">
      <c r="A417" s="81"/>
    </row>
    <row r="418">
      <c r="A418" s="81"/>
    </row>
    <row r="419">
      <c r="A419" s="81"/>
    </row>
    <row r="420">
      <c r="A420" s="81"/>
    </row>
    <row r="421">
      <c r="A421" s="81"/>
    </row>
    <row r="422">
      <c r="A422" s="81"/>
    </row>
    <row r="423">
      <c r="A423" s="81"/>
    </row>
    <row r="424">
      <c r="A424" s="81"/>
    </row>
    <row r="425">
      <c r="A425" s="81"/>
    </row>
    <row r="426">
      <c r="A426" s="81"/>
    </row>
    <row r="427">
      <c r="A427" s="81"/>
    </row>
    <row r="428">
      <c r="A428" s="81"/>
    </row>
    <row r="429">
      <c r="A429" s="81"/>
    </row>
    <row r="430">
      <c r="A430" s="81"/>
    </row>
    <row r="431">
      <c r="A431" s="81"/>
    </row>
    <row r="432">
      <c r="A432" s="81"/>
    </row>
    <row r="433">
      <c r="A433" s="81"/>
    </row>
    <row r="434">
      <c r="A434" s="81"/>
    </row>
    <row r="435">
      <c r="A435" s="81"/>
    </row>
    <row r="436">
      <c r="A436" s="81"/>
    </row>
    <row r="437">
      <c r="A437" s="81"/>
    </row>
    <row r="438">
      <c r="A438" s="81"/>
    </row>
    <row r="439">
      <c r="A439" s="81"/>
    </row>
    <row r="440">
      <c r="A440" s="81"/>
    </row>
    <row r="441">
      <c r="A441" s="81"/>
    </row>
    <row r="442">
      <c r="A442" s="81"/>
    </row>
    <row r="443">
      <c r="A443" s="81"/>
    </row>
    <row r="444">
      <c r="A444" s="81"/>
    </row>
    <row r="445">
      <c r="A445" s="81"/>
    </row>
    <row r="446">
      <c r="A446" s="81"/>
    </row>
    <row r="447">
      <c r="A447" s="81"/>
    </row>
    <row r="448">
      <c r="A448" s="81"/>
    </row>
    <row r="449">
      <c r="A449" s="81"/>
    </row>
    <row r="450">
      <c r="A450" s="81"/>
    </row>
    <row r="451">
      <c r="A451" s="81"/>
    </row>
    <row r="452">
      <c r="A452" s="81"/>
    </row>
    <row r="453">
      <c r="A453" s="81"/>
    </row>
    <row r="454">
      <c r="A454" s="81"/>
    </row>
    <row r="455">
      <c r="A455" s="81"/>
    </row>
    <row r="456">
      <c r="A456" s="81"/>
    </row>
    <row r="457">
      <c r="A457" s="81"/>
    </row>
    <row r="458">
      <c r="A458" s="81"/>
    </row>
    <row r="459">
      <c r="A459" s="81"/>
    </row>
    <row r="460">
      <c r="A460" s="81"/>
    </row>
    <row r="461">
      <c r="A461" s="81"/>
    </row>
    <row r="462">
      <c r="A462" s="81"/>
    </row>
    <row r="463">
      <c r="A463" s="81"/>
    </row>
    <row r="464">
      <c r="A464" s="81"/>
    </row>
    <row r="465">
      <c r="A465" s="81"/>
    </row>
    <row r="466">
      <c r="A466" s="81"/>
    </row>
    <row r="467">
      <c r="A467" s="81"/>
    </row>
    <row r="468">
      <c r="A468" s="81"/>
    </row>
    <row r="469">
      <c r="A469" s="81"/>
    </row>
    <row r="470">
      <c r="A470" s="81"/>
    </row>
    <row r="471">
      <c r="A471" s="81"/>
    </row>
    <row r="472">
      <c r="A472" s="81"/>
    </row>
    <row r="473">
      <c r="A473" s="81"/>
    </row>
    <row r="474">
      <c r="A474" s="81"/>
    </row>
    <row r="475">
      <c r="A475" s="81"/>
    </row>
    <row r="476">
      <c r="A476" s="81"/>
    </row>
    <row r="477">
      <c r="A477" s="81"/>
    </row>
    <row r="478">
      <c r="A478" s="81"/>
    </row>
    <row r="479">
      <c r="A479" s="81"/>
    </row>
    <row r="480">
      <c r="A480" s="81"/>
    </row>
    <row r="481">
      <c r="A481" s="81"/>
    </row>
    <row r="482">
      <c r="A482" s="81"/>
    </row>
    <row r="483">
      <c r="A483" s="81"/>
    </row>
    <row r="484">
      <c r="A484" s="81"/>
    </row>
    <row r="485">
      <c r="A485" s="81"/>
    </row>
    <row r="486">
      <c r="A486" s="81"/>
    </row>
    <row r="487">
      <c r="A487" s="81"/>
    </row>
    <row r="488">
      <c r="A488" s="81"/>
    </row>
    <row r="489">
      <c r="A489" s="81"/>
    </row>
    <row r="490">
      <c r="A490" s="81"/>
    </row>
    <row r="491">
      <c r="A491" s="81"/>
    </row>
    <row r="492">
      <c r="A492" s="81"/>
    </row>
    <row r="493">
      <c r="A493" s="81"/>
    </row>
    <row r="494">
      <c r="A494" s="81"/>
    </row>
    <row r="495">
      <c r="A495" s="81"/>
    </row>
    <row r="496">
      <c r="A496" s="81"/>
    </row>
    <row r="497">
      <c r="A497" s="81"/>
    </row>
    <row r="498">
      <c r="A498" s="81"/>
    </row>
    <row r="499">
      <c r="A499" s="81"/>
    </row>
    <row r="500">
      <c r="A500" s="81"/>
    </row>
    <row r="501">
      <c r="A501" s="81"/>
    </row>
    <row r="502">
      <c r="A502" s="81"/>
    </row>
    <row r="503">
      <c r="A503" s="81"/>
    </row>
    <row r="504">
      <c r="A504" s="81"/>
    </row>
    <row r="505">
      <c r="A505" s="81"/>
    </row>
    <row r="506">
      <c r="A506" s="81"/>
    </row>
    <row r="507">
      <c r="A507" s="81"/>
    </row>
    <row r="508">
      <c r="A508" s="81"/>
    </row>
    <row r="509">
      <c r="A509" s="81"/>
    </row>
    <row r="510">
      <c r="A510" s="81"/>
    </row>
    <row r="511">
      <c r="A511" s="81"/>
    </row>
    <row r="512">
      <c r="A512" s="81"/>
    </row>
    <row r="513">
      <c r="A513" s="81"/>
    </row>
    <row r="514">
      <c r="A514" s="81"/>
    </row>
    <row r="515">
      <c r="A515" s="81"/>
    </row>
    <row r="516">
      <c r="A516" s="81"/>
    </row>
    <row r="517">
      <c r="A517" s="81"/>
    </row>
    <row r="518">
      <c r="A518" s="81"/>
    </row>
    <row r="519">
      <c r="A519" s="81"/>
    </row>
    <row r="520">
      <c r="A520" s="81"/>
    </row>
    <row r="521">
      <c r="A521" s="81"/>
    </row>
    <row r="522">
      <c r="A522" s="81"/>
    </row>
    <row r="523">
      <c r="A523" s="81"/>
    </row>
    <row r="524">
      <c r="A524" s="81"/>
    </row>
    <row r="525">
      <c r="A525" s="81"/>
    </row>
    <row r="526">
      <c r="A526" s="81"/>
    </row>
    <row r="527">
      <c r="A527" s="81"/>
    </row>
    <row r="528">
      <c r="A528" s="81"/>
    </row>
    <row r="529">
      <c r="A529" s="81"/>
    </row>
    <row r="530">
      <c r="A530" s="81"/>
    </row>
    <row r="531">
      <c r="A531" s="81"/>
    </row>
    <row r="532">
      <c r="A532" s="81"/>
    </row>
    <row r="533">
      <c r="A533" s="81"/>
    </row>
    <row r="534">
      <c r="A534" s="81"/>
    </row>
    <row r="535">
      <c r="A535" s="81"/>
    </row>
    <row r="536">
      <c r="A536" s="81"/>
    </row>
    <row r="537">
      <c r="A537" s="81"/>
    </row>
    <row r="538">
      <c r="A538" s="81"/>
    </row>
    <row r="539">
      <c r="A539" s="81"/>
    </row>
    <row r="540">
      <c r="A540" s="81"/>
    </row>
    <row r="541">
      <c r="A541" s="81"/>
    </row>
    <row r="542">
      <c r="A542" s="81"/>
    </row>
    <row r="543">
      <c r="A543" s="81"/>
    </row>
    <row r="544">
      <c r="A544" s="81"/>
    </row>
    <row r="545">
      <c r="A545" s="81"/>
    </row>
    <row r="546">
      <c r="A546" s="81"/>
    </row>
    <row r="547">
      <c r="A547" s="81"/>
    </row>
    <row r="548">
      <c r="A548" s="81"/>
    </row>
    <row r="549">
      <c r="A549" s="81"/>
    </row>
    <row r="550">
      <c r="A550" s="81"/>
    </row>
    <row r="551">
      <c r="A551" s="81"/>
    </row>
    <row r="552">
      <c r="A552" s="81"/>
    </row>
    <row r="553">
      <c r="A553" s="81"/>
    </row>
    <row r="554">
      <c r="A554" s="81"/>
    </row>
    <row r="555">
      <c r="A555" s="81"/>
    </row>
    <row r="556">
      <c r="A556" s="81"/>
    </row>
    <row r="557">
      <c r="A557" s="81"/>
    </row>
    <row r="558">
      <c r="A558" s="81"/>
    </row>
    <row r="559">
      <c r="A559" s="81"/>
    </row>
    <row r="560">
      <c r="A560" s="81"/>
    </row>
    <row r="561">
      <c r="A561" s="81"/>
    </row>
    <row r="562">
      <c r="A562" s="81"/>
    </row>
    <row r="563">
      <c r="A563" s="81"/>
    </row>
    <row r="564">
      <c r="A564" s="81"/>
    </row>
    <row r="565">
      <c r="A565" s="81"/>
    </row>
    <row r="566">
      <c r="A566" s="81"/>
    </row>
    <row r="567">
      <c r="A567" s="81"/>
    </row>
    <row r="568">
      <c r="A568" s="81"/>
    </row>
    <row r="569">
      <c r="A569" s="81"/>
    </row>
    <row r="570">
      <c r="A570" s="81"/>
    </row>
    <row r="571">
      <c r="A571" s="81"/>
    </row>
    <row r="572">
      <c r="A572" s="81"/>
    </row>
    <row r="573">
      <c r="A573" s="81"/>
    </row>
    <row r="574">
      <c r="A574" s="81"/>
    </row>
    <row r="575">
      <c r="A575" s="81"/>
    </row>
    <row r="576">
      <c r="A576" s="81"/>
    </row>
    <row r="577">
      <c r="A577" s="81"/>
    </row>
    <row r="578">
      <c r="A578" s="81"/>
    </row>
    <row r="579">
      <c r="A579" s="81"/>
    </row>
    <row r="580">
      <c r="A580" s="81"/>
    </row>
    <row r="581">
      <c r="A581" s="81"/>
    </row>
    <row r="582">
      <c r="A582" s="81"/>
    </row>
    <row r="583">
      <c r="A583" s="81"/>
    </row>
    <row r="584">
      <c r="A584" s="81"/>
    </row>
    <row r="585">
      <c r="A585" s="81"/>
    </row>
    <row r="586">
      <c r="A586" s="81"/>
    </row>
    <row r="587">
      <c r="A587" s="81"/>
    </row>
    <row r="588">
      <c r="A588" s="81"/>
    </row>
    <row r="589">
      <c r="A589" s="81"/>
    </row>
    <row r="590">
      <c r="A590" s="81"/>
    </row>
    <row r="591">
      <c r="A591" s="81"/>
    </row>
    <row r="592">
      <c r="A592" s="81"/>
    </row>
    <row r="593">
      <c r="A593" s="81"/>
    </row>
    <row r="594">
      <c r="A594" s="81"/>
    </row>
    <row r="595">
      <c r="A595" s="81"/>
    </row>
    <row r="596">
      <c r="A596" s="81"/>
    </row>
    <row r="597">
      <c r="A597" s="81"/>
    </row>
    <row r="598">
      <c r="A598" s="81"/>
    </row>
    <row r="599">
      <c r="A599" s="81"/>
    </row>
    <row r="600">
      <c r="A600" s="81"/>
    </row>
    <row r="601">
      <c r="A601" s="81"/>
    </row>
    <row r="602">
      <c r="A602" s="81"/>
    </row>
    <row r="603">
      <c r="A603" s="81"/>
    </row>
    <row r="604">
      <c r="A604" s="81"/>
    </row>
    <row r="605">
      <c r="A605" s="81"/>
    </row>
    <row r="606">
      <c r="A606" s="81"/>
    </row>
    <row r="607">
      <c r="A607" s="81"/>
    </row>
    <row r="608">
      <c r="A608" s="81"/>
    </row>
    <row r="609">
      <c r="A609" s="81"/>
    </row>
    <row r="610">
      <c r="A610" s="81"/>
    </row>
    <row r="611">
      <c r="A611" s="81"/>
    </row>
    <row r="612">
      <c r="A612" s="81"/>
    </row>
    <row r="613">
      <c r="A613" s="81"/>
    </row>
    <row r="614">
      <c r="A614" s="81"/>
    </row>
    <row r="615">
      <c r="A615" s="81"/>
    </row>
    <row r="616">
      <c r="A616" s="81"/>
    </row>
    <row r="617">
      <c r="A617" s="81"/>
    </row>
    <row r="618">
      <c r="A618" s="81"/>
    </row>
    <row r="619">
      <c r="A619" s="81"/>
    </row>
    <row r="620">
      <c r="A620" s="81"/>
    </row>
    <row r="621">
      <c r="A621" s="81"/>
    </row>
    <row r="622">
      <c r="A622" s="81"/>
    </row>
    <row r="623">
      <c r="A623" s="81"/>
    </row>
    <row r="624">
      <c r="A624" s="81"/>
    </row>
    <row r="625">
      <c r="A625" s="81"/>
    </row>
    <row r="626">
      <c r="A626" s="81"/>
    </row>
    <row r="627">
      <c r="A627" s="81"/>
    </row>
    <row r="628">
      <c r="A628" s="81"/>
    </row>
    <row r="629">
      <c r="A629" s="81"/>
    </row>
    <row r="630">
      <c r="A630" s="81"/>
    </row>
    <row r="631">
      <c r="A631" s="81"/>
    </row>
    <row r="632">
      <c r="A632" s="81"/>
    </row>
    <row r="633">
      <c r="A633" s="81"/>
    </row>
    <row r="634">
      <c r="A634" s="81"/>
    </row>
    <row r="635">
      <c r="A635" s="81"/>
    </row>
    <row r="636">
      <c r="A636" s="81"/>
    </row>
    <row r="637">
      <c r="A637" s="81"/>
    </row>
    <row r="638">
      <c r="A638" s="81"/>
    </row>
    <row r="639">
      <c r="A639" s="81"/>
    </row>
    <row r="640">
      <c r="A640" s="81"/>
    </row>
    <row r="641">
      <c r="A641" s="81"/>
    </row>
    <row r="642">
      <c r="A642" s="81"/>
    </row>
    <row r="643">
      <c r="A643" s="81"/>
    </row>
    <row r="644">
      <c r="A644" s="81"/>
    </row>
    <row r="645">
      <c r="A645" s="81"/>
    </row>
    <row r="646">
      <c r="A646" s="81"/>
    </row>
    <row r="647">
      <c r="A647" s="81"/>
    </row>
    <row r="648">
      <c r="A648" s="81"/>
    </row>
    <row r="649">
      <c r="A649" s="81"/>
    </row>
    <row r="650">
      <c r="A650" s="81"/>
    </row>
    <row r="651">
      <c r="A651" s="81"/>
    </row>
    <row r="652">
      <c r="A652" s="81"/>
    </row>
    <row r="653">
      <c r="A653" s="81"/>
    </row>
    <row r="654">
      <c r="A654" s="81"/>
    </row>
    <row r="655">
      <c r="A655" s="81"/>
    </row>
    <row r="656">
      <c r="A656" s="81"/>
    </row>
    <row r="657">
      <c r="A657" s="81"/>
    </row>
    <row r="658">
      <c r="A658" s="81"/>
    </row>
    <row r="659">
      <c r="A659" s="81"/>
    </row>
    <row r="660">
      <c r="A660" s="81"/>
    </row>
    <row r="661">
      <c r="A661" s="81"/>
    </row>
    <row r="662">
      <c r="A662" s="81"/>
    </row>
    <row r="663">
      <c r="A663" s="81"/>
    </row>
    <row r="664">
      <c r="A664" s="81"/>
    </row>
    <row r="665">
      <c r="A665" s="81"/>
    </row>
    <row r="666">
      <c r="A666" s="81"/>
    </row>
    <row r="667">
      <c r="A667" s="81"/>
    </row>
    <row r="668">
      <c r="A668" s="81"/>
    </row>
    <row r="669">
      <c r="A669" s="81"/>
    </row>
    <row r="670">
      <c r="A670" s="81"/>
    </row>
    <row r="671">
      <c r="A671" s="81"/>
    </row>
    <row r="672">
      <c r="A672" s="81"/>
    </row>
    <row r="673">
      <c r="A673" s="81"/>
    </row>
    <row r="674">
      <c r="A674" s="81"/>
    </row>
    <row r="675">
      <c r="A675" s="81"/>
    </row>
    <row r="676">
      <c r="A676" s="81"/>
    </row>
    <row r="677">
      <c r="A677" s="81"/>
    </row>
    <row r="678">
      <c r="A678" s="81"/>
    </row>
    <row r="679">
      <c r="A679" s="81"/>
    </row>
    <row r="680">
      <c r="A680" s="81"/>
    </row>
    <row r="681">
      <c r="A681" s="81"/>
    </row>
    <row r="682">
      <c r="A682" s="81"/>
    </row>
    <row r="683">
      <c r="A683" s="81"/>
    </row>
    <row r="684">
      <c r="A684" s="81"/>
    </row>
    <row r="685">
      <c r="A685" s="81"/>
    </row>
    <row r="686">
      <c r="A686" s="81"/>
    </row>
    <row r="687">
      <c r="A687" s="81"/>
    </row>
    <row r="688">
      <c r="A688" s="81"/>
    </row>
    <row r="689">
      <c r="A689" s="81"/>
    </row>
    <row r="690">
      <c r="A690" s="81"/>
    </row>
    <row r="691">
      <c r="A691" s="81"/>
    </row>
    <row r="692">
      <c r="A692" s="81"/>
    </row>
    <row r="693">
      <c r="A693" s="81"/>
    </row>
    <row r="694">
      <c r="A694" s="81"/>
    </row>
    <row r="695">
      <c r="A695" s="81"/>
    </row>
    <row r="696">
      <c r="A696" s="81"/>
    </row>
    <row r="697">
      <c r="A697" s="81"/>
    </row>
    <row r="698">
      <c r="A698" s="81"/>
    </row>
    <row r="699">
      <c r="A699" s="81"/>
    </row>
    <row r="700">
      <c r="A700" s="81"/>
    </row>
    <row r="701">
      <c r="A701" s="81"/>
    </row>
    <row r="702">
      <c r="A702" s="81"/>
    </row>
    <row r="703">
      <c r="A703" s="81"/>
    </row>
    <row r="704">
      <c r="A704" s="81"/>
    </row>
    <row r="705">
      <c r="A705" s="81"/>
    </row>
    <row r="706">
      <c r="A706" s="81"/>
    </row>
    <row r="707">
      <c r="A707" s="81"/>
    </row>
    <row r="708">
      <c r="A708" s="81"/>
    </row>
    <row r="709">
      <c r="A709" s="81"/>
    </row>
    <row r="710">
      <c r="A710" s="81"/>
    </row>
    <row r="711">
      <c r="A711" s="81"/>
    </row>
    <row r="712">
      <c r="A712" s="81"/>
    </row>
    <row r="713">
      <c r="A713" s="81"/>
    </row>
    <row r="714">
      <c r="A714" s="81"/>
    </row>
    <row r="715">
      <c r="A715" s="81"/>
    </row>
    <row r="716">
      <c r="A716" s="81"/>
    </row>
    <row r="717">
      <c r="A717" s="81"/>
    </row>
    <row r="718">
      <c r="A718" s="81"/>
    </row>
    <row r="719">
      <c r="A719" s="81"/>
    </row>
    <row r="720">
      <c r="A720" s="81"/>
    </row>
    <row r="721">
      <c r="A721" s="81"/>
    </row>
    <row r="722">
      <c r="A722" s="81"/>
    </row>
    <row r="723">
      <c r="A723" s="81"/>
    </row>
    <row r="724">
      <c r="A724" s="81"/>
    </row>
    <row r="725">
      <c r="A725" s="81"/>
    </row>
    <row r="726">
      <c r="A726" s="81"/>
    </row>
    <row r="727">
      <c r="A727" s="81"/>
    </row>
    <row r="728">
      <c r="A728" s="81"/>
    </row>
    <row r="729">
      <c r="A729" s="81"/>
    </row>
    <row r="730">
      <c r="A730" s="81"/>
    </row>
    <row r="731">
      <c r="A731" s="81"/>
    </row>
    <row r="732">
      <c r="A732" s="81"/>
    </row>
    <row r="733">
      <c r="A733" s="81"/>
    </row>
    <row r="734">
      <c r="A734" s="81"/>
    </row>
    <row r="735">
      <c r="A735" s="81"/>
    </row>
    <row r="736">
      <c r="A736" s="81"/>
    </row>
    <row r="737">
      <c r="A737" s="81"/>
    </row>
    <row r="738">
      <c r="A738" s="81"/>
    </row>
    <row r="739">
      <c r="A739" s="81"/>
    </row>
    <row r="740">
      <c r="A740" s="81"/>
    </row>
    <row r="741">
      <c r="A741" s="81"/>
    </row>
    <row r="742">
      <c r="A742" s="81"/>
    </row>
    <row r="743">
      <c r="A743" s="81"/>
    </row>
    <row r="744">
      <c r="A744" s="81"/>
    </row>
    <row r="745">
      <c r="A745" s="81"/>
    </row>
    <row r="746">
      <c r="A746" s="81"/>
    </row>
    <row r="747">
      <c r="A747" s="81"/>
    </row>
    <row r="748">
      <c r="A748" s="81"/>
    </row>
    <row r="749">
      <c r="A749" s="81"/>
    </row>
    <row r="750">
      <c r="A750" s="81"/>
    </row>
    <row r="751">
      <c r="A751" s="81"/>
    </row>
    <row r="752">
      <c r="A752" s="81"/>
    </row>
    <row r="753">
      <c r="A753" s="81"/>
    </row>
    <row r="754">
      <c r="A754" s="81"/>
    </row>
    <row r="755">
      <c r="A755" s="81"/>
    </row>
    <row r="756">
      <c r="A756" s="81"/>
    </row>
    <row r="757">
      <c r="A757" s="81"/>
    </row>
    <row r="758">
      <c r="A758" s="81"/>
    </row>
    <row r="759">
      <c r="A759" s="81"/>
    </row>
    <row r="760">
      <c r="A760" s="81"/>
    </row>
    <row r="761">
      <c r="A761" s="81"/>
    </row>
    <row r="762">
      <c r="A762" s="81"/>
    </row>
    <row r="763">
      <c r="A763" s="81"/>
    </row>
    <row r="764">
      <c r="A764" s="81"/>
    </row>
    <row r="765">
      <c r="A765" s="81"/>
    </row>
    <row r="766">
      <c r="A766" s="81"/>
    </row>
    <row r="767">
      <c r="A767" s="81"/>
    </row>
    <row r="768">
      <c r="A768" s="81"/>
    </row>
    <row r="769">
      <c r="A769" s="81"/>
    </row>
    <row r="770">
      <c r="A770" s="81"/>
    </row>
    <row r="771">
      <c r="A771" s="81"/>
    </row>
    <row r="772">
      <c r="A772" s="81"/>
    </row>
    <row r="773">
      <c r="A773" s="81"/>
    </row>
    <row r="774">
      <c r="A774" s="81"/>
    </row>
    <row r="775">
      <c r="A775" s="81"/>
    </row>
    <row r="776">
      <c r="A776" s="81"/>
    </row>
    <row r="777">
      <c r="A777" s="81"/>
    </row>
    <row r="778">
      <c r="A778" s="81"/>
    </row>
    <row r="779">
      <c r="A779" s="81"/>
    </row>
    <row r="780">
      <c r="A780" s="81"/>
    </row>
    <row r="781">
      <c r="A781" s="81"/>
    </row>
    <row r="782">
      <c r="A782" s="81"/>
    </row>
    <row r="783">
      <c r="A783" s="81"/>
    </row>
    <row r="784">
      <c r="A784" s="81"/>
    </row>
    <row r="785">
      <c r="A785" s="81"/>
    </row>
    <row r="786">
      <c r="A786" s="81"/>
    </row>
    <row r="787">
      <c r="A787" s="81"/>
    </row>
    <row r="788">
      <c r="A788" s="81"/>
    </row>
    <row r="789">
      <c r="A789" s="81"/>
    </row>
    <row r="790">
      <c r="A790" s="81"/>
    </row>
    <row r="791">
      <c r="A791" s="81"/>
    </row>
    <row r="792">
      <c r="A792" s="81"/>
    </row>
    <row r="793">
      <c r="A793" s="81"/>
    </row>
    <row r="794">
      <c r="A794" s="81"/>
    </row>
    <row r="795">
      <c r="A795" s="81"/>
    </row>
    <row r="796">
      <c r="A796" s="81"/>
    </row>
    <row r="797">
      <c r="A797" s="81"/>
    </row>
    <row r="798">
      <c r="A798" s="81"/>
    </row>
    <row r="799">
      <c r="A799" s="81"/>
    </row>
    <row r="800">
      <c r="A800" s="81"/>
    </row>
    <row r="801">
      <c r="A801" s="81"/>
    </row>
    <row r="802">
      <c r="A802" s="81"/>
    </row>
    <row r="803">
      <c r="A803" s="81"/>
    </row>
    <row r="804">
      <c r="A804" s="81"/>
    </row>
    <row r="805">
      <c r="A805" s="81"/>
    </row>
    <row r="806">
      <c r="A806" s="81"/>
    </row>
    <row r="807">
      <c r="A807" s="81"/>
    </row>
    <row r="808">
      <c r="A808" s="81"/>
    </row>
    <row r="809">
      <c r="A809" s="81"/>
    </row>
    <row r="810">
      <c r="A810" s="81"/>
    </row>
    <row r="811">
      <c r="A811" s="81"/>
    </row>
    <row r="812">
      <c r="A812" s="81"/>
    </row>
    <row r="813">
      <c r="A813" s="81"/>
    </row>
    <row r="814">
      <c r="A814" s="81"/>
    </row>
    <row r="815">
      <c r="A815" s="81"/>
    </row>
    <row r="816">
      <c r="A816" s="81"/>
    </row>
    <row r="817">
      <c r="A817" s="81"/>
    </row>
    <row r="818">
      <c r="A818" s="81"/>
    </row>
    <row r="819">
      <c r="A819" s="81"/>
    </row>
    <row r="820">
      <c r="A820" s="81"/>
    </row>
    <row r="821">
      <c r="A821" s="81"/>
    </row>
    <row r="822">
      <c r="A822" s="81"/>
    </row>
    <row r="823">
      <c r="A823" s="81"/>
    </row>
    <row r="824">
      <c r="A824" s="81"/>
    </row>
    <row r="825">
      <c r="A825" s="81"/>
    </row>
    <row r="826">
      <c r="A826" s="81"/>
    </row>
    <row r="827">
      <c r="A827" s="81"/>
    </row>
    <row r="828">
      <c r="A828" s="81"/>
    </row>
    <row r="829">
      <c r="A829" s="81"/>
    </row>
    <row r="830">
      <c r="A830" s="81"/>
    </row>
    <row r="831">
      <c r="A831" s="81"/>
    </row>
    <row r="832">
      <c r="A832" s="81"/>
    </row>
    <row r="833">
      <c r="A833" s="81"/>
    </row>
    <row r="834">
      <c r="A834" s="81"/>
    </row>
    <row r="835">
      <c r="A835" s="81"/>
    </row>
    <row r="836">
      <c r="A836" s="81"/>
    </row>
    <row r="837">
      <c r="A837" s="81"/>
    </row>
    <row r="838">
      <c r="A838" s="81"/>
    </row>
    <row r="839">
      <c r="A839" s="81"/>
    </row>
    <row r="840">
      <c r="A840" s="81"/>
    </row>
    <row r="841">
      <c r="A841" s="81"/>
    </row>
    <row r="842">
      <c r="A842" s="81"/>
    </row>
    <row r="843">
      <c r="A843" s="81"/>
    </row>
    <row r="844">
      <c r="A844" s="81"/>
    </row>
    <row r="845">
      <c r="A845" s="81"/>
    </row>
    <row r="846">
      <c r="A846" s="81"/>
    </row>
    <row r="847">
      <c r="A847" s="81"/>
    </row>
    <row r="848">
      <c r="A848" s="81"/>
    </row>
    <row r="849">
      <c r="A849" s="81"/>
    </row>
    <row r="850">
      <c r="A850" s="81"/>
    </row>
    <row r="851">
      <c r="A851" s="81"/>
    </row>
    <row r="852">
      <c r="A852" s="81"/>
    </row>
    <row r="853">
      <c r="A853" s="81"/>
    </row>
    <row r="854">
      <c r="A854" s="81"/>
    </row>
    <row r="855">
      <c r="A855" s="81"/>
    </row>
    <row r="856">
      <c r="A856" s="81"/>
    </row>
    <row r="857">
      <c r="A857" s="81"/>
    </row>
    <row r="858">
      <c r="A858" s="81"/>
    </row>
    <row r="859">
      <c r="A859" s="81"/>
    </row>
    <row r="860">
      <c r="A860" s="81"/>
    </row>
    <row r="861">
      <c r="A861" s="81"/>
    </row>
    <row r="862">
      <c r="A862" s="81"/>
    </row>
    <row r="863">
      <c r="A863" s="81"/>
    </row>
    <row r="864">
      <c r="A864" s="81"/>
    </row>
    <row r="865">
      <c r="A865" s="81"/>
    </row>
    <row r="866">
      <c r="A866" s="81"/>
    </row>
    <row r="867">
      <c r="A867" s="81"/>
    </row>
    <row r="868">
      <c r="A868" s="81"/>
    </row>
    <row r="869">
      <c r="A869" s="81"/>
    </row>
    <row r="870">
      <c r="A870" s="81"/>
    </row>
    <row r="871">
      <c r="A871" s="81"/>
    </row>
    <row r="872">
      <c r="A872" s="81"/>
    </row>
    <row r="873">
      <c r="A873" s="81"/>
    </row>
    <row r="874">
      <c r="A874" s="81"/>
    </row>
    <row r="875">
      <c r="A875" s="81"/>
    </row>
    <row r="876">
      <c r="A876" s="81"/>
    </row>
    <row r="877">
      <c r="A877" s="81"/>
    </row>
    <row r="878">
      <c r="A878" s="81"/>
    </row>
    <row r="879">
      <c r="A879" s="81"/>
    </row>
    <row r="880">
      <c r="A880" s="81"/>
    </row>
    <row r="881">
      <c r="A881" s="81"/>
    </row>
    <row r="882">
      <c r="A882" s="81"/>
    </row>
    <row r="883">
      <c r="A883" s="81"/>
    </row>
    <row r="884">
      <c r="A884" s="81"/>
    </row>
    <row r="885">
      <c r="A885" s="81"/>
    </row>
    <row r="886">
      <c r="A886" s="81"/>
    </row>
    <row r="887">
      <c r="A887" s="81"/>
    </row>
    <row r="888">
      <c r="A888" s="81"/>
    </row>
    <row r="889">
      <c r="A889" s="81"/>
    </row>
    <row r="890">
      <c r="A890" s="81"/>
    </row>
    <row r="891">
      <c r="A891" s="81"/>
    </row>
    <row r="892">
      <c r="A892" s="81"/>
    </row>
    <row r="893">
      <c r="A893" s="81"/>
    </row>
    <row r="894">
      <c r="A894" s="81"/>
    </row>
    <row r="895">
      <c r="A895" s="81"/>
    </row>
    <row r="896">
      <c r="A896" s="81"/>
    </row>
    <row r="897">
      <c r="A897" s="81"/>
    </row>
    <row r="898">
      <c r="A898" s="81"/>
    </row>
    <row r="899">
      <c r="A899" s="81"/>
    </row>
    <row r="900">
      <c r="A900" s="81"/>
    </row>
    <row r="901">
      <c r="A901" s="81"/>
    </row>
    <row r="902">
      <c r="A902" s="81"/>
    </row>
    <row r="903">
      <c r="A903" s="81"/>
    </row>
    <row r="904">
      <c r="A904" s="81"/>
    </row>
    <row r="905">
      <c r="A905" s="81"/>
    </row>
    <row r="906">
      <c r="A906" s="81"/>
    </row>
    <row r="907">
      <c r="A907" s="81"/>
    </row>
    <row r="908">
      <c r="A908" s="81"/>
    </row>
    <row r="909">
      <c r="A909" s="81"/>
    </row>
    <row r="910">
      <c r="A910" s="81"/>
    </row>
    <row r="911">
      <c r="A911" s="81"/>
    </row>
    <row r="912">
      <c r="A912" s="81"/>
    </row>
    <row r="913">
      <c r="A913" s="81"/>
    </row>
    <row r="914">
      <c r="A914" s="81"/>
    </row>
    <row r="915">
      <c r="A915" s="81"/>
    </row>
    <row r="916">
      <c r="A916" s="81"/>
    </row>
    <row r="917">
      <c r="A917" s="81"/>
    </row>
    <row r="918">
      <c r="A918" s="81"/>
    </row>
    <row r="919">
      <c r="A919" s="81"/>
    </row>
    <row r="920">
      <c r="A920" s="81"/>
    </row>
    <row r="921">
      <c r="A921" s="81"/>
    </row>
    <row r="922">
      <c r="A922" s="81"/>
    </row>
    <row r="923">
      <c r="A923" s="81"/>
    </row>
    <row r="924">
      <c r="A924" s="81"/>
    </row>
    <row r="925">
      <c r="A925" s="81"/>
    </row>
    <row r="926">
      <c r="A926" s="81"/>
    </row>
    <row r="927">
      <c r="A927" s="81"/>
    </row>
    <row r="928">
      <c r="A928" s="81"/>
    </row>
    <row r="929">
      <c r="A929" s="81"/>
    </row>
    <row r="930">
      <c r="A930" s="81"/>
    </row>
    <row r="931">
      <c r="A931" s="81"/>
    </row>
    <row r="932">
      <c r="A932" s="81"/>
    </row>
    <row r="933">
      <c r="A933" s="81"/>
    </row>
    <row r="934">
      <c r="A934" s="81"/>
    </row>
    <row r="935">
      <c r="A935" s="81"/>
    </row>
    <row r="936">
      <c r="A936" s="81"/>
    </row>
    <row r="937">
      <c r="A937" s="81"/>
    </row>
    <row r="938">
      <c r="A938" s="81"/>
    </row>
    <row r="939">
      <c r="A939" s="81"/>
    </row>
    <row r="940">
      <c r="A940" s="81"/>
    </row>
    <row r="941">
      <c r="A941" s="81"/>
    </row>
    <row r="942">
      <c r="A942" s="81"/>
    </row>
    <row r="943">
      <c r="A943" s="81"/>
    </row>
    <row r="944">
      <c r="A944" s="81"/>
    </row>
    <row r="945">
      <c r="A945" s="81"/>
    </row>
    <row r="946">
      <c r="A946" s="81"/>
    </row>
    <row r="947">
      <c r="A947" s="81"/>
    </row>
    <row r="948">
      <c r="A948" s="81"/>
    </row>
    <row r="949">
      <c r="A949" s="81"/>
    </row>
    <row r="950">
      <c r="A950" s="81"/>
    </row>
    <row r="951">
      <c r="A951" s="81"/>
    </row>
    <row r="952">
      <c r="A952" s="81"/>
    </row>
    <row r="953">
      <c r="A953" s="81"/>
    </row>
    <row r="954">
      <c r="A954" s="81"/>
    </row>
    <row r="955">
      <c r="A955" s="81"/>
    </row>
    <row r="956">
      <c r="A956" s="81"/>
    </row>
    <row r="957">
      <c r="A957" s="81"/>
    </row>
    <row r="958">
      <c r="A958" s="81"/>
    </row>
    <row r="959">
      <c r="A959" s="81"/>
    </row>
    <row r="960">
      <c r="A960" s="81"/>
    </row>
    <row r="961">
      <c r="A961" s="81"/>
    </row>
    <row r="962">
      <c r="A962" s="81"/>
    </row>
    <row r="963">
      <c r="A963" s="81"/>
    </row>
    <row r="964">
      <c r="A964" s="81"/>
    </row>
    <row r="965">
      <c r="A965" s="81"/>
    </row>
    <row r="966">
      <c r="A966" s="81"/>
    </row>
    <row r="967">
      <c r="A967" s="81"/>
    </row>
    <row r="968">
      <c r="A968" s="81"/>
    </row>
    <row r="969">
      <c r="A969" s="81"/>
    </row>
    <row r="970">
      <c r="A970" s="81"/>
    </row>
    <row r="971">
      <c r="A971" s="81"/>
    </row>
    <row r="972">
      <c r="A972" s="81"/>
    </row>
    <row r="973">
      <c r="A973" s="81"/>
    </row>
    <row r="974">
      <c r="A974" s="81"/>
    </row>
    <row r="975">
      <c r="A975" s="81"/>
    </row>
    <row r="976">
      <c r="A976" s="81"/>
    </row>
    <row r="977">
      <c r="A977" s="81"/>
    </row>
    <row r="978">
      <c r="A978" s="81"/>
    </row>
    <row r="979">
      <c r="A979" s="81"/>
    </row>
    <row r="980">
      <c r="A980" s="81"/>
    </row>
    <row r="981">
      <c r="A981" s="81"/>
    </row>
    <row r="982">
      <c r="A982" s="81"/>
    </row>
    <row r="983">
      <c r="A983" s="81"/>
    </row>
    <row r="984">
      <c r="A984" s="81"/>
    </row>
    <row r="985">
      <c r="A985" s="81"/>
    </row>
    <row r="986">
      <c r="A986" s="81"/>
    </row>
    <row r="987">
      <c r="A987" s="81"/>
    </row>
    <row r="988">
      <c r="A988" s="81"/>
    </row>
    <row r="989">
      <c r="A989" s="81"/>
    </row>
    <row r="990">
      <c r="A990" s="81"/>
    </row>
    <row r="991">
      <c r="A991" s="81"/>
    </row>
    <row r="992">
      <c r="A992" s="81"/>
    </row>
    <row r="993">
      <c r="A993" s="81"/>
    </row>
    <row r="994">
      <c r="A994" s="81"/>
    </row>
    <row r="995">
      <c r="A995" s="81"/>
    </row>
    <row r="996">
      <c r="A996" s="81"/>
    </row>
    <row r="997">
      <c r="A997" s="81"/>
    </row>
    <row r="998">
      <c r="A998" s="81"/>
    </row>
    <row r="999">
      <c r="A999"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s>
  <sheetData>
    <row r="1">
      <c r="A1" s="78" t="s">
        <v>304</v>
      </c>
      <c r="B1" s="79">
        <v>1.0</v>
      </c>
      <c r="C1" s="79">
        <v>2.0</v>
      </c>
      <c r="D1" s="79">
        <v>3.0</v>
      </c>
      <c r="E1" s="79">
        <v>4.0</v>
      </c>
      <c r="F1" s="79">
        <v>5.0</v>
      </c>
      <c r="G1" s="79">
        <v>6.0</v>
      </c>
      <c r="H1" s="79">
        <v>7.0</v>
      </c>
      <c r="I1" s="79">
        <v>8.0</v>
      </c>
      <c r="J1" s="79">
        <v>9.0</v>
      </c>
      <c r="K1" s="79">
        <v>10.0</v>
      </c>
      <c r="L1" s="79">
        <v>11.0</v>
      </c>
      <c r="M1" s="79">
        <v>12.0</v>
      </c>
      <c r="N1" s="79">
        <v>13.0</v>
      </c>
      <c r="O1" s="79">
        <v>14.0</v>
      </c>
      <c r="P1" s="79">
        <v>15.0</v>
      </c>
      <c r="Q1" s="79">
        <v>16.0</v>
      </c>
      <c r="R1" s="79">
        <v>17.0</v>
      </c>
      <c r="S1" s="79">
        <v>18.0</v>
      </c>
      <c r="T1" s="79">
        <v>19.0</v>
      </c>
      <c r="U1" s="79">
        <v>20.0</v>
      </c>
      <c r="V1" s="79">
        <v>21.0</v>
      </c>
      <c r="W1" s="79">
        <v>22.0</v>
      </c>
      <c r="X1" s="79">
        <v>23.0</v>
      </c>
      <c r="Y1" s="79">
        <v>24.0</v>
      </c>
      <c r="Z1" s="79">
        <v>25.0</v>
      </c>
      <c r="AA1" s="79"/>
      <c r="AB1" s="79"/>
      <c r="AC1" s="79"/>
      <c r="AD1" s="79"/>
      <c r="AE1" s="79"/>
      <c r="AF1" s="79"/>
      <c r="AG1" s="79"/>
      <c r="AH1" s="79"/>
      <c r="AI1" s="79"/>
      <c r="AJ1" s="79"/>
      <c r="AK1" s="79"/>
      <c r="AL1" s="79"/>
      <c r="AM1" s="79"/>
      <c r="AN1" s="79"/>
      <c r="AO1" s="79"/>
      <c r="AP1" s="79"/>
      <c r="AQ1" s="79"/>
      <c r="AR1" s="79"/>
      <c r="AS1" s="79"/>
      <c r="AT1" s="79"/>
      <c r="AU1" s="79"/>
      <c r="AV1" s="79"/>
      <c r="AW1" s="79"/>
      <c r="AX1" s="79"/>
      <c r="AY1" s="79"/>
    </row>
    <row r="2">
      <c r="A2" s="80" t="str">
        <f t="array" ref="A2:A41">Posts_Primary!B2:B999</f>
        <v>DDhx9Znow-I</v>
      </c>
    </row>
    <row r="3">
      <c r="A3" s="81" t="s">
        <v>44</v>
      </c>
    </row>
    <row r="4">
      <c r="A4" s="81" t="s">
        <v>51</v>
      </c>
    </row>
    <row r="5">
      <c r="A5" s="81" t="s">
        <v>56</v>
      </c>
    </row>
    <row r="6">
      <c r="A6" s="81" t="s">
        <v>62</v>
      </c>
    </row>
    <row r="7">
      <c r="A7" s="81" t="s">
        <v>68</v>
      </c>
    </row>
    <row r="8">
      <c r="A8" s="81" t="s">
        <v>73</v>
      </c>
    </row>
    <row r="9">
      <c r="A9" s="81" t="s">
        <v>79</v>
      </c>
    </row>
    <row r="10">
      <c r="A10" s="81" t="s">
        <v>84</v>
      </c>
    </row>
    <row r="11">
      <c r="A11" s="81" t="s">
        <v>92</v>
      </c>
    </row>
    <row r="12">
      <c r="A12" s="81" t="s">
        <v>1107</v>
      </c>
      <c r="B12" s="77">
        <v>45228.211805555555</v>
      </c>
      <c r="C12" s="77">
        <v>45228.566666666666</v>
      </c>
      <c r="D12" s="77">
        <v>45228.04861111111</v>
      </c>
      <c r="E12" s="77">
        <v>45228.217361111114</v>
      </c>
      <c r="F12" s="77">
        <v>45228.120833333334</v>
      </c>
      <c r="G12" s="77">
        <v>45228.04375</v>
      </c>
      <c r="H12" s="77">
        <v>45228.26111111111</v>
      </c>
      <c r="I12" s="77">
        <v>45240.111805555556</v>
      </c>
      <c r="J12" s="77">
        <v>45240.052083333336</v>
      </c>
      <c r="K12" s="77">
        <v>45239.549305555556</v>
      </c>
      <c r="L12" s="77">
        <v>45238.075694444444</v>
      </c>
      <c r="M12" s="77">
        <v>45237.93472222222</v>
      </c>
      <c r="N12" s="77">
        <v>45237.311111111114</v>
      </c>
      <c r="O12" s="77">
        <v>45231.52013888889</v>
      </c>
      <c r="P12" s="77">
        <v>45231.32638888889</v>
      </c>
      <c r="Q12" s="77">
        <v>45228.44097222222</v>
      </c>
      <c r="R12" s="77">
        <v>45228.40277777778</v>
      </c>
      <c r="S12" s="77">
        <v>45228.396527777775</v>
      </c>
      <c r="T12" s="77">
        <v>45228.38333333333</v>
      </c>
      <c r="U12" s="77">
        <v>45228.36319444444</v>
      </c>
      <c r="V12" s="77">
        <v>45228.35763888889</v>
      </c>
      <c r="W12" s="77">
        <v>45228.23472222222</v>
      </c>
      <c r="X12" s="77">
        <v>45228.169444444444</v>
      </c>
      <c r="Y12" s="77">
        <v>45228.14375</v>
      </c>
      <c r="Z12" s="77">
        <v>45228.07361111111</v>
      </c>
      <c r="AA12" s="77">
        <v>45228.063888888886</v>
      </c>
      <c r="AB12" s="77">
        <v>45228.05763888889</v>
      </c>
      <c r="AC12" s="77">
        <v>45228.02291666667</v>
      </c>
      <c r="AD12" s="77">
        <v>45228.02291666667</v>
      </c>
      <c r="AE12" s="77">
        <v>45228.013194444444</v>
      </c>
      <c r="AF12" s="77">
        <v>45228.01180555556</v>
      </c>
      <c r="AG12" s="77">
        <v>45228.006944444445</v>
      </c>
      <c r="AH12" s="77">
        <v>45228.00347222222</v>
      </c>
      <c r="AI12" s="77">
        <v>45227.99166666667</v>
      </c>
      <c r="AJ12" s="77">
        <v>45342.38125</v>
      </c>
      <c r="AK12" s="77">
        <v>45342.095138888886</v>
      </c>
      <c r="AL12" s="77">
        <v>45337.00625</v>
      </c>
      <c r="AM12" s="77">
        <v>45329.626388888886</v>
      </c>
      <c r="AN12" s="77">
        <v>45329.354166666664</v>
      </c>
      <c r="AO12" s="77">
        <v>45329.354166666664</v>
      </c>
      <c r="AP12" s="77">
        <v>45321.024305555555</v>
      </c>
      <c r="AQ12" s="77">
        <v>45314.600694444445</v>
      </c>
      <c r="AR12" s="77">
        <v>45307.555555555555</v>
      </c>
      <c r="AS12" s="77">
        <v>45305.25347222222</v>
      </c>
      <c r="AT12" s="77">
        <v>45296.56180555555</v>
      </c>
      <c r="AU12" s="77">
        <v>45289.42152777778</v>
      </c>
      <c r="AV12" s="77">
        <v>45282.68541666667</v>
      </c>
      <c r="AW12" s="77">
        <v>45271.02777777778</v>
      </c>
      <c r="AX12" s="77">
        <v>45266.100694444445</v>
      </c>
      <c r="AY12" s="77">
        <v>45263.830555555556</v>
      </c>
    </row>
    <row r="13">
      <c r="A13" s="81" t="s">
        <v>1149</v>
      </c>
      <c r="B13" s="77">
        <v>46025.535416666666</v>
      </c>
      <c r="C13" s="77">
        <v>46025.79236111111</v>
      </c>
      <c r="D13" s="77">
        <v>46025.56041666667</v>
      </c>
      <c r="E13" s="77">
        <v>46025.56041666667</v>
      </c>
      <c r="F13" s="77">
        <v>46025.51875</v>
      </c>
      <c r="G13" s="77">
        <v>46030.64166666667</v>
      </c>
      <c r="H13" s="77">
        <v>46025.509722222225</v>
      </c>
      <c r="I13" s="77">
        <v>46025.674305555556</v>
      </c>
      <c r="J13" s="77">
        <v>46027.930555555555</v>
      </c>
      <c r="K13" s="77">
        <v>46026.45625</v>
      </c>
      <c r="L13" s="77">
        <v>46032.28680555556</v>
      </c>
      <c r="M13" s="77">
        <v>46031.83611111111</v>
      </c>
      <c r="N13" s="77">
        <v>46025.51111111111</v>
      </c>
      <c r="O13" s="77">
        <v>46026.65</v>
      </c>
      <c r="P13" s="77">
        <v>46025.521527777775</v>
      </c>
      <c r="Q13" s="77">
        <v>46078.345138888886</v>
      </c>
      <c r="R13" s="77">
        <v>46026.404861111114</v>
      </c>
      <c r="S13" s="77">
        <v>46026.29027777778</v>
      </c>
      <c r="T13" s="77">
        <v>46029.19930555556</v>
      </c>
      <c r="U13" s="77">
        <v>46032.5125</v>
      </c>
      <c r="V13" s="2"/>
      <c r="W13" s="2"/>
      <c r="X13" s="2"/>
      <c r="Y13" s="2"/>
      <c r="Z13" s="2"/>
      <c r="AA13" s="2"/>
    </row>
    <row r="14">
      <c r="A14" s="81" t="s">
        <v>1163</v>
      </c>
      <c r="B14" s="77">
        <v>45240.32013888889</v>
      </c>
      <c r="C14" s="77">
        <v>45237.34305555555</v>
      </c>
      <c r="D14" s="77">
        <v>45237.32083333333</v>
      </c>
      <c r="E14" s="77">
        <v>45237.34027777778</v>
      </c>
      <c r="F14" s="77">
        <v>45672.06805555556</v>
      </c>
      <c r="G14" s="77">
        <v>45237.31527777778</v>
      </c>
      <c r="H14" s="77">
        <v>45314.493055555555</v>
      </c>
      <c r="I14" s="77">
        <v>45237.57847222222</v>
      </c>
      <c r="J14" s="77">
        <v>45307.583333333336</v>
      </c>
      <c r="K14" s="77">
        <v>45237.330555555556</v>
      </c>
      <c r="L14" s="77">
        <v>45237.31875</v>
      </c>
      <c r="M14" s="77">
        <v>45237.36597222222</v>
      </c>
      <c r="N14" s="77">
        <v>45272.95347222222</v>
      </c>
      <c r="O14" s="77">
        <v>45237.83541666667</v>
      </c>
      <c r="P14" s="77">
        <v>45452.365277777775</v>
      </c>
      <c r="Q14" s="77">
        <v>45237.65347222222</v>
      </c>
      <c r="R14" s="77">
        <v>45237.32777777778</v>
      </c>
      <c r="S14" s="77">
        <v>45237.42152777778</v>
      </c>
      <c r="T14" s="77">
        <v>45274.08263888889</v>
      </c>
      <c r="U14" s="77">
        <v>45237.49930555555</v>
      </c>
      <c r="V14" s="77">
        <v>45237.910416666666</v>
      </c>
      <c r="W14" s="77">
        <v>45237.48888888889</v>
      </c>
      <c r="X14" s="77">
        <v>45297.200694444444</v>
      </c>
      <c r="Y14" s="77">
        <v>46028.22638888889</v>
      </c>
      <c r="Z14" s="77">
        <v>45237.46805555555</v>
      </c>
      <c r="AA14" s="77">
        <v>45237.36319444444</v>
      </c>
      <c r="AB14" s="77">
        <v>45331.10486111111</v>
      </c>
      <c r="AC14" s="77">
        <v>46001.94305555556</v>
      </c>
      <c r="AD14" s="77">
        <v>45277.76597222222</v>
      </c>
      <c r="AE14" s="77">
        <v>45241.51597222222</v>
      </c>
      <c r="AF14" s="77">
        <v>45238.39236111111</v>
      </c>
      <c r="AG14" s="77">
        <v>46053.322222222225</v>
      </c>
      <c r="AH14" s="77">
        <v>45237.33194444444</v>
      </c>
      <c r="AI14" s="77">
        <v>45545.388194444444</v>
      </c>
      <c r="AJ14" s="77">
        <v>45237.98888888889</v>
      </c>
      <c r="AK14" s="77">
        <v>45238.36319444444</v>
      </c>
      <c r="AL14" s="77">
        <v>46008.888194444444</v>
      </c>
      <c r="AM14" s="77">
        <v>45237.83611111111</v>
      </c>
      <c r="AN14" s="77">
        <v>45544.96944444445</v>
      </c>
      <c r="AO14" s="77">
        <v>45238.39791666667</v>
      </c>
      <c r="AP14" s="77">
        <v>45237.79513888889</v>
      </c>
      <c r="AQ14" s="77">
        <v>45238.38611111111</v>
      </c>
      <c r="AR14" s="77">
        <v>45277.76597222222</v>
      </c>
      <c r="AS14" s="77">
        <v>45314.26597222222</v>
      </c>
      <c r="AT14" s="77">
        <v>45720.104166666664</v>
      </c>
      <c r="AU14" s="77">
        <v>45545.20277777778</v>
      </c>
      <c r="AV14" s="77">
        <v>45237.32638888889</v>
      </c>
    </row>
    <row r="15">
      <c r="A15" s="81" t="s">
        <v>1204</v>
      </c>
      <c r="B15" s="77">
        <v>45402.59722222222</v>
      </c>
      <c r="C15" s="77">
        <v>45402.040972222225</v>
      </c>
      <c r="D15" s="77">
        <v>45402.01111111111</v>
      </c>
      <c r="E15" s="77">
        <v>45402.01527777778</v>
      </c>
      <c r="F15" s="77">
        <v>45402.0125</v>
      </c>
      <c r="G15" s="77">
        <v>45689.03333333333</v>
      </c>
      <c r="H15" s="82">
        <v>45421.032638888886</v>
      </c>
      <c r="I15" s="82">
        <v>45418.08541666667</v>
      </c>
      <c r="J15" s="77">
        <v>45404.998611111114</v>
      </c>
      <c r="K15" s="77">
        <v>45404.43819444445</v>
      </c>
      <c r="L15" s="77">
        <v>45402.53402777778</v>
      </c>
      <c r="M15" s="77">
        <v>45402.36041666667</v>
      </c>
      <c r="N15" s="77">
        <v>45402.350694444445</v>
      </c>
      <c r="O15" s="77">
        <v>45402.30694444444</v>
      </c>
      <c r="P15" s="77">
        <v>45402.27569444444</v>
      </c>
      <c r="Q15" s="77">
        <v>45402.20347222222</v>
      </c>
      <c r="R15" s="77">
        <v>45402.200694444444</v>
      </c>
      <c r="S15" s="77">
        <v>45402.17152777778</v>
      </c>
      <c r="T15" s="77">
        <v>45402.163194444445</v>
      </c>
      <c r="U15" s="77">
        <v>45402.152083333334</v>
      </c>
      <c r="V15" s="77">
        <v>45402.11666666667</v>
      </c>
      <c r="W15" s="77">
        <v>45402.08541666667</v>
      </c>
      <c r="X15" s="77">
        <v>45402.05763888889</v>
      </c>
      <c r="Y15" s="77">
        <v>45402.04583333333</v>
      </c>
      <c r="Z15" s="77">
        <v>45402.040972222225</v>
      </c>
      <c r="AA15" s="77">
        <v>45402.038194444445</v>
      </c>
      <c r="AB15" s="77">
        <v>45402.03402777778</v>
      </c>
      <c r="AC15" s="77">
        <v>45402.03125</v>
      </c>
      <c r="AD15" s="77">
        <v>45402.02847222222</v>
      </c>
      <c r="AE15" s="77">
        <v>45402.027083333334</v>
      </c>
      <c r="AF15" s="77">
        <v>45546.57986111111</v>
      </c>
      <c r="AG15" s="77">
        <v>45488.13055555556</v>
      </c>
      <c r="AH15" s="82">
        <v>45416.08125</v>
      </c>
      <c r="AI15" s="77">
        <v>45403.98888888889</v>
      </c>
      <c r="AJ15" s="77">
        <v>45403.606944444444</v>
      </c>
      <c r="AK15" s="77">
        <v>45403.05486111111</v>
      </c>
      <c r="AL15" s="77">
        <v>45403.00347222222</v>
      </c>
      <c r="AM15" s="77">
        <v>45402.01944444444</v>
      </c>
    </row>
    <row r="16">
      <c r="A16" s="81" t="s">
        <v>1236</v>
      </c>
      <c r="B16" s="77">
        <v>46075.43402777778</v>
      </c>
      <c r="C16" s="77">
        <v>46075.50277777778</v>
      </c>
      <c r="D16" s="77">
        <v>46075.44097222222</v>
      </c>
      <c r="E16" s="77">
        <v>46075.41736111111</v>
      </c>
      <c r="F16" s="77">
        <v>46075.41111111111</v>
      </c>
      <c r="G16" s="77">
        <v>46075.42847222222</v>
      </c>
      <c r="H16" s="77">
        <v>46075.44375</v>
      </c>
      <c r="I16" s="77">
        <v>46075.404861111114</v>
      </c>
      <c r="J16" s="77">
        <v>46076.62777777778</v>
      </c>
      <c r="K16" s="77">
        <v>46075.40902777778</v>
      </c>
      <c r="L16" s="77">
        <v>46075.415972222225</v>
      </c>
      <c r="M16" s="77">
        <v>46075.42847222222</v>
      </c>
      <c r="N16" s="77">
        <v>46075.395833333336</v>
      </c>
      <c r="O16" s="77">
        <v>46075.40069444444</v>
      </c>
      <c r="P16" s="77">
        <v>46075.410416666666</v>
      </c>
      <c r="Q16" s="77">
        <v>46075.40416666667</v>
      </c>
      <c r="R16" s="77">
        <v>46075.39722222222</v>
      </c>
      <c r="S16" s="77">
        <v>46075.399305555555</v>
      </c>
      <c r="T16" s="77">
        <v>46075.425</v>
      </c>
      <c r="U16" s="77">
        <v>46075.43125</v>
      </c>
      <c r="V16" s="77">
        <v>46075.40069444444</v>
      </c>
      <c r="W16" s="77">
        <v>46076.55902777778</v>
      </c>
      <c r="X16" s="77">
        <v>46076.71319444444</v>
      </c>
      <c r="Y16" s="77">
        <v>46079.55486111111</v>
      </c>
      <c r="Z16" s="77">
        <v>46076.5375</v>
      </c>
      <c r="AA16" s="77">
        <v>46076.50208333333</v>
      </c>
      <c r="AB16" s="77">
        <v>46076.48819444444</v>
      </c>
      <c r="AC16" s="77">
        <v>46076.51666666667</v>
      </c>
      <c r="AD16" s="77">
        <v>46076.43472222222</v>
      </c>
      <c r="AE16" s="77">
        <v>46076.12569444445</v>
      </c>
      <c r="AF16" s="77">
        <v>46076.31319444445</v>
      </c>
      <c r="AG16" s="77">
        <v>46076.25</v>
      </c>
      <c r="AH16" s="77">
        <v>46076.16388888889</v>
      </c>
      <c r="AI16" s="77">
        <v>46076.64375</v>
      </c>
      <c r="AJ16" s="77">
        <v>46077.027083333334</v>
      </c>
      <c r="AK16" s="77">
        <v>46076.7875</v>
      </c>
      <c r="AL16" s="77">
        <v>46076.12152777778</v>
      </c>
      <c r="AM16" s="77">
        <v>46076.35625</v>
      </c>
      <c r="AN16" s="77">
        <v>46076.57777777778</v>
      </c>
      <c r="AO16" s="77">
        <v>46076.379166666666</v>
      </c>
      <c r="AP16" s="77">
        <v>46077.02013888889</v>
      </c>
      <c r="AQ16" s="77">
        <v>46076.18194444444</v>
      </c>
      <c r="AR16" s="77">
        <v>46077.00625</v>
      </c>
      <c r="AS16" s="77">
        <v>46076.98472222222</v>
      </c>
      <c r="AT16" s="77">
        <v>46076.775</v>
      </c>
      <c r="AU16" s="77">
        <v>46076.90347222222</v>
      </c>
      <c r="AV16" s="77">
        <v>46076.12430555555</v>
      </c>
      <c r="AW16" s="77">
        <v>46076.76597222222</v>
      </c>
      <c r="AX16" s="77">
        <v>46076.81736111111</v>
      </c>
      <c r="AY16" s="77">
        <v>46076.959027777775</v>
      </c>
    </row>
    <row r="17">
      <c r="A17" s="81" t="s">
        <v>1280</v>
      </c>
      <c r="B17" s="77">
        <v>46073.64513888889</v>
      </c>
      <c r="C17" s="77">
        <v>46070.33819444444</v>
      </c>
      <c r="D17" s="77">
        <v>46070.31805555556</v>
      </c>
      <c r="E17" s="77">
        <v>46074.160416666666</v>
      </c>
      <c r="F17" s="77">
        <v>46081.472916666666</v>
      </c>
      <c r="G17" s="77">
        <v>46070.41111111111</v>
      </c>
      <c r="H17" s="77">
        <v>46070.375</v>
      </c>
      <c r="I17" s="77">
        <v>46071.00625</v>
      </c>
      <c r="J17" s="77">
        <v>46070.33541666667</v>
      </c>
      <c r="K17" s="77">
        <v>46074.274305555555</v>
      </c>
      <c r="L17" s="77">
        <v>46070.98333333333</v>
      </c>
      <c r="M17" s="77">
        <v>46070.41805555556</v>
      </c>
      <c r="N17" s="77">
        <v>46073.964583333334</v>
      </c>
      <c r="O17" s="77">
        <v>46070.527083333334</v>
      </c>
      <c r="P17" s="77">
        <v>46070.402083333334</v>
      </c>
      <c r="Q17" s="77">
        <v>46074.22152777778</v>
      </c>
      <c r="R17" s="77">
        <v>46074.149305555555</v>
      </c>
      <c r="S17" s="77">
        <v>46072.756944444445</v>
      </c>
      <c r="T17" s="77">
        <v>46073.131944444445</v>
      </c>
      <c r="U17" s="77">
        <v>46074.2125</v>
      </c>
      <c r="V17" s="77">
        <v>46073.839583333334</v>
      </c>
      <c r="W17" s="77">
        <v>46074.2125</v>
      </c>
      <c r="X17" s="77">
        <v>46080.35763888889</v>
      </c>
      <c r="Y17" s="77">
        <v>46070.3375</v>
      </c>
      <c r="Z17" s="77">
        <v>46076.010416666664</v>
      </c>
      <c r="AA17" s="77">
        <v>46076.06805555556</v>
      </c>
      <c r="AB17" s="77">
        <v>46076.00625</v>
      </c>
      <c r="AC17" s="77">
        <v>46078.302777777775</v>
      </c>
      <c r="AD17" s="77">
        <v>46074.48541666667</v>
      </c>
      <c r="AE17" s="77">
        <v>46080.040972222225</v>
      </c>
      <c r="AF17" s="77">
        <v>46075.356944444444</v>
      </c>
      <c r="AG17" s="77">
        <v>46080.56180555555</v>
      </c>
      <c r="AH17" s="77">
        <v>46081.37708333333</v>
      </c>
      <c r="AI17" s="77">
        <v>46077.93125</v>
      </c>
      <c r="AJ17" s="77">
        <v>46070.33263888889</v>
      </c>
      <c r="AK17" s="77">
        <v>46076.06180555555</v>
      </c>
      <c r="AL17" s="77">
        <v>46077.728472222225</v>
      </c>
      <c r="AM17" s="77">
        <v>46070.45416666667</v>
      </c>
      <c r="AN17" s="77">
        <v>46077.53055555555</v>
      </c>
      <c r="AO17" s="77">
        <v>46074.458333333336</v>
      </c>
      <c r="AP17" s="77">
        <v>46081.3875</v>
      </c>
      <c r="AQ17" s="77">
        <v>46081.520833333336</v>
      </c>
      <c r="AR17" s="77">
        <v>46081.57361111111</v>
      </c>
      <c r="AS17" s="77">
        <v>46083.708333333336</v>
      </c>
      <c r="AT17" s="77">
        <v>46084.08125</v>
      </c>
    </row>
    <row r="18">
      <c r="A18" s="81" t="s">
        <v>1316</v>
      </c>
      <c r="B18" s="77">
        <v>45990.40138888889</v>
      </c>
      <c r="C18" s="77">
        <v>45978.46388888889</v>
      </c>
      <c r="D18" s="77">
        <v>45978.58125</v>
      </c>
      <c r="E18" s="77">
        <v>45986.80625</v>
      </c>
      <c r="F18" s="77">
        <v>45978.15277777778</v>
      </c>
      <c r="G18" s="77">
        <v>45978.56597222222</v>
      </c>
      <c r="H18" s="77">
        <v>45978.822916666664</v>
      </c>
      <c r="I18" s="77">
        <v>45978.29027777778</v>
      </c>
      <c r="J18" s="77">
        <v>45981.58611111111</v>
      </c>
      <c r="K18" s="77">
        <v>45978.12986111111</v>
      </c>
      <c r="L18" s="77">
        <v>45998.24930555555</v>
      </c>
      <c r="M18" s="77">
        <v>45978.53611111111</v>
      </c>
      <c r="N18" s="77">
        <v>45979.22152777778</v>
      </c>
      <c r="O18" s="77">
        <v>45979.53958333333</v>
      </c>
      <c r="P18" s="77">
        <v>45979.259722222225</v>
      </c>
      <c r="Q18" s="2"/>
      <c r="R18" s="2"/>
      <c r="S18" s="2"/>
      <c r="T18" s="2"/>
      <c r="U18" s="2"/>
      <c r="V18" s="2"/>
      <c r="W18" s="2"/>
      <c r="X18" s="2"/>
      <c r="Y18" s="2"/>
      <c r="Z18" s="2"/>
      <c r="AA18" s="2"/>
    </row>
    <row r="19">
      <c r="A19" s="81" t="s">
        <v>1331</v>
      </c>
      <c r="B19" s="77">
        <v>46002.38402777778</v>
      </c>
      <c r="C19" s="77">
        <v>46002.388194444444</v>
      </c>
      <c r="D19" s="77">
        <v>46002.39097222222</v>
      </c>
      <c r="E19" s="77">
        <v>46002.3875</v>
      </c>
      <c r="F19" s="77">
        <v>46002.38402777778</v>
      </c>
      <c r="G19" s="77">
        <v>46002.40138888889</v>
      </c>
      <c r="H19" s="77">
        <v>46002.385416666664</v>
      </c>
      <c r="I19" s="77">
        <v>46002.395833333336</v>
      </c>
      <c r="J19" s="77">
        <v>46002.635416666664</v>
      </c>
      <c r="K19" s="77">
        <v>46002.566666666666</v>
      </c>
      <c r="L19" s="77">
        <v>46002.39166666667</v>
      </c>
      <c r="M19" s="77">
        <v>46002.39166666667</v>
      </c>
      <c r="N19" s="77">
        <v>46002.39166666667</v>
      </c>
      <c r="O19" s="77">
        <v>46002.39166666667</v>
      </c>
      <c r="P19" s="77">
        <v>46002.37986111111</v>
      </c>
      <c r="Q19" s="77">
        <v>46002.47708333333</v>
      </c>
      <c r="R19" s="77">
        <v>46002.41527777778</v>
      </c>
      <c r="S19" s="77">
        <v>46002.37986111111</v>
      </c>
      <c r="T19" s="77">
        <v>46002.38333333333</v>
      </c>
      <c r="U19" s="77">
        <v>46002.38611111111</v>
      </c>
      <c r="V19" s="77">
        <v>46002.388194444444</v>
      </c>
      <c r="W19" s="77">
        <v>46002.413194444445</v>
      </c>
      <c r="X19" s="77">
        <v>46002.43472222222</v>
      </c>
      <c r="Y19" s="77">
        <v>46002.49375</v>
      </c>
      <c r="Z19" s="77">
        <v>46002.80763888889</v>
      </c>
      <c r="AA19" s="77">
        <v>46003.15277777778</v>
      </c>
      <c r="AB19" s="77">
        <v>46002.76736111111</v>
      </c>
      <c r="AC19" s="77">
        <v>46002.811111111114</v>
      </c>
      <c r="AD19" s="77">
        <v>46002.78333333333</v>
      </c>
      <c r="AE19" s="77">
        <v>46002.72361111111</v>
      </c>
      <c r="AF19" s="77">
        <v>46002.71666666667</v>
      </c>
      <c r="AG19" s="77">
        <v>46002.635416666664</v>
      </c>
      <c r="AH19" s="77">
        <v>46002.58125</v>
      </c>
      <c r="AI19" s="77">
        <v>46002.569444444445</v>
      </c>
      <c r="AJ19" s="77">
        <v>46002.54722222222</v>
      </c>
      <c r="AK19" s="77">
        <v>46002.43125</v>
      </c>
      <c r="AL19" s="77">
        <v>46002.44097222222</v>
      </c>
      <c r="AM19" s="77">
        <v>46002.44097222222</v>
      </c>
      <c r="AN19" s="77">
        <v>46002.404861111114</v>
      </c>
      <c r="AO19" s="77">
        <v>46002.49166666667</v>
      </c>
      <c r="AP19" s="77">
        <v>46002.52013888889</v>
      </c>
      <c r="AQ19" s="77">
        <v>46002.40277777778</v>
      </c>
      <c r="AR19" s="77">
        <v>46002.45</v>
      </c>
      <c r="AS19" s="77">
        <v>46002.43541666667</v>
      </c>
      <c r="AT19" s="77">
        <v>46002.43541666667</v>
      </c>
      <c r="AU19" s="77">
        <v>46002.43125</v>
      </c>
      <c r="AV19" s="77">
        <v>46002.44305555556</v>
      </c>
      <c r="AW19" s="77">
        <v>46002.5125</v>
      </c>
      <c r="AX19" s="77">
        <v>46002.50902777778</v>
      </c>
      <c r="AY19" s="77">
        <v>46002.45277777778</v>
      </c>
    </row>
    <row r="20">
      <c r="A20" s="81" t="s">
        <v>1376</v>
      </c>
      <c r="B20" s="77">
        <v>46056.11041666667</v>
      </c>
      <c r="C20" s="77">
        <v>46055.98333333333</v>
      </c>
      <c r="D20" s="77">
        <v>46056.53611111111</v>
      </c>
      <c r="E20" s="77">
        <v>46055.959027777775</v>
      </c>
      <c r="F20" s="77">
        <v>46055.97222222222</v>
      </c>
      <c r="G20" s="77">
        <v>46056.006944444445</v>
      </c>
      <c r="H20" s="77">
        <v>46056.3375</v>
      </c>
      <c r="I20" s="77">
        <v>46055.964583333334</v>
      </c>
      <c r="J20" s="77">
        <v>46056.01388888889</v>
      </c>
      <c r="K20" s="77">
        <v>46056.05138888889</v>
      </c>
      <c r="L20" s="77">
        <v>46055.97361111111</v>
      </c>
      <c r="M20" s="77">
        <v>46055.98402777778</v>
      </c>
      <c r="N20" s="77">
        <v>46056.31319444445</v>
      </c>
      <c r="O20" s="77">
        <v>46057.20277777778</v>
      </c>
      <c r="P20" s="2"/>
      <c r="Q20" s="2"/>
      <c r="R20" s="2"/>
      <c r="S20" s="2"/>
      <c r="T20" s="2"/>
      <c r="U20" s="2"/>
      <c r="V20" s="2"/>
      <c r="W20" s="2"/>
      <c r="X20" s="2"/>
      <c r="Y20" s="2"/>
      <c r="Z20" s="2"/>
      <c r="AA20" s="2"/>
    </row>
    <row r="21">
      <c r="A21" s="81" t="s">
        <v>1391</v>
      </c>
      <c r="B21" s="77">
        <v>45972.51736111111</v>
      </c>
      <c r="C21" s="77">
        <v>45972.865277777775</v>
      </c>
      <c r="D21" s="77">
        <v>45973.09652777778</v>
      </c>
      <c r="E21" s="77">
        <v>45972.464583333334</v>
      </c>
      <c r="F21" s="77">
        <v>45972.42291666667</v>
      </c>
      <c r="G21" s="77">
        <v>45982.11111111111</v>
      </c>
      <c r="H21" s="77">
        <v>45972.938888888886</v>
      </c>
      <c r="I21" s="77">
        <v>45972.47222222222</v>
      </c>
      <c r="J21" s="77">
        <v>45983.31458333333</v>
      </c>
      <c r="K21" s="77">
        <v>45975.93402777778</v>
      </c>
      <c r="L21" s="77">
        <v>45972.40416666667</v>
      </c>
      <c r="M21" s="77">
        <v>45972.345138888886</v>
      </c>
      <c r="N21" s="77">
        <v>45988.61111111111</v>
      </c>
      <c r="O21" s="77">
        <v>45974.57083333333</v>
      </c>
      <c r="P21" s="77">
        <v>45972.45138888889</v>
      </c>
      <c r="Q21" s="77">
        <v>45991.455555555556</v>
      </c>
      <c r="R21" s="77">
        <v>45973.19583333333</v>
      </c>
      <c r="S21" s="77">
        <v>45972.947222222225</v>
      </c>
      <c r="T21" s="77">
        <v>45972.42152777778</v>
      </c>
      <c r="U21" s="77">
        <v>45982.95972222222</v>
      </c>
      <c r="V21" s="77">
        <v>45977.61736111111</v>
      </c>
      <c r="W21" s="77">
        <v>45972.37013888889</v>
      </c>
      <c r="X21" s="77">
        <v>45974.277083333334</v>
      </c>
      <c r="Y21" s="77">
        <v>45972.46805555555</v>
      </c>
      <c r="Z21" s="77">
        <v>46074.05763888889</v>
      </c>
      <c r="AA21" s="77">
        <v>45972.51111111111</v>
      </c>
      <c r="AB21" s="77">
        <v>45974.20625</v>
      </c>
      <c r="AC21" s="77">
        <v>45972.50208333333</v>
      </c>
      <c r="AD21" s="77">
        <v>45972.53958333333</v>
      </c>
      <c r="AE21" s="77">
        <v>45972.83541666667</v>
      </c>
      <c r="AF21" s="77">
        <v>45972.42222222222</v>
      </c>
      <c r="AG21" s="77">
        <v>45973.25347222222</v>
      </c>
      <c r="AH21" s="77">
        <v>45990.095138888886</v>
      </c>
      <c r="AI21" s="77">
        <v>45977.475694444445</v>
      </c>
      <c r="AJ21" s="77">
        <v>45972.425</v>
      </c>
      <c r="AK21" s="77">
        <v>45979.73402777778</v>
      </c>
      <c r="AL21" s="77">
        <v>45972.53472222222</v>
      </c>
      <c r="AM21" s="77">
        <v>45972.35208333333</v>
      </c>
      <c r="AN21" s="77">
        <v>45972.34305555555</v>
      </c>
      <c r="AO21" s="77">
        <v>45972.513194444444</v>
      </c>
      <c r="AP21" s="77">
        <v>45975.603472222225</v>
      </c>
      <c r="AQ21" s="77">
        <v>45982.49375</v>
      </c>
      <c r="AR21" s="77">
        <v>46002.83125</v>
      </c>
      <c r="AS21" s="77">
        <v>45979.67291666667</v>
      </c>
      <c r="AT21" s="77">
        <v>46060.23263888889</v>
      </c>
    </row>
    <row r="22">
      <c r="A22" s="81" t="s">
        <v>157</v>
      </c>
    </row>
    <row r="23">
      <c r="A23" s="81" t="s">
        <v>166</v>
      </c>
    </row>
    <row r="24">
      <c r="A24" s="81" t="s">
        <v>175</v>
      </c>
    </row>
    <row r="25">
      <c r="A25" s="81" t="s">
        <v>183</v>
      </c>
    </row>
    <row r="26">
      <c r="A26" s="81" t="s">
        <v>191</v>
      </c>
    </row>
    <row r="27">
      <c r="A27" s="81" t="s">
        <v>200</v>
      </c>
    </row>
    <row r="28">
      <c r="A28" s="81" t="s">
        <v>208</v>
      </c>
    </row>
    <row r="29">
      <c r="A29" s="81" t="s">
        <v>216</v>
      </c>
    </row>
    <row r="30">
      <c r="A30" s="81" t="s">
        <v>1429</v>
      </c>
    </row>
    <row r="31">
      <c r="A31" s="81" t="s">
        <v>232</v>
      </c>
    </row>
    <row r="32">
      <c r="A32" s="81" t="s">
        <v>1430</v>
      </c>
    </row>
    <row r="33">
      <c r="A33" s="81" t="s">
        <v>1431</v>
      </c>
    </row>
    <row r="34">
      <c r="A34" s="81" t="s">
        <v>1432</v>
      </c>
    </row>
    <row r="35">
      <c r="A35" s="81" t="s">
        <v>1433</v>
      </c>
    </row>
    <row r="36">
      <c r="A36" s="81" t="s">
        <v>1434</v>
      </c>
    </row>
    <row r="37">
      <c r="A37" s="81" t="s">
        <v>1435</v>
      </c>
    </row>
    <row r="38">
      <c r="A38" s="81" t="s">
        <v>277</v>
      </c>
    </row>
    <row r="39">
      <c r="A39" s="81" t="s">
        <v>285</v>
      </c>
    </row>
    <row r="40">
      <c r="A40" s="81" t="s">
        <v>1436</v>
      </c>
    </row>
    <row r="41">
      <c r="A41" s="81" t="s">
        <v>1437</v>
      </c>
    </row>
    <row r="42">
      <c r="A42" s="81"/>
    </row>
    <row r="43">
      <c r="A43" s="81"/>
    </row>
    <row r="44">
      <c r="A44" s="81"/>
    </row>
    <row r="45">
      <c r="A45" s="81"/>
    </row>
    <row r="46">
      <c r="A46" s="81"/>
    </row>
    <row r="47">
      <c r="A47" s="81"/>
    </row>
    <row r="48">
      <c r="A48" s="81"/>
    </row>
    <row r="49">
      <c r="A49" s="81"/>
    </row>
    <row r="50">
      <c r="A50" s="81"/>
    </row>
    <row r="51">
      <c r="A51" s="81"/>
    </row>
    <row r="52">
      <c r="A52" s="81"/>
    </row>
    <row r="53">
      <c r="A53" s="81"/>
    </row>
    <row r="54">
      <c r="A54" s="81"/>
    </row>
    <row r="55">
      <c r="A55" s="81"/>
    </row>
    <row r="56">
      <c r="A56" s="81"/>
    </row>
    <row r="57">
      <c r="A57" s="81"/>
    </row>
    <row r="58">
      <c r="A58" s="81"/>
    </row>
    <row r="59">
      <c r="A59" s="81"/>
    </row>
    <row r="60">
      <c r="A60" s="81"/>
    </row>
    <row r="61">
      <c r="A61" s="81"/>
    </row>
    <row r="62">
      <c r="A62" s="81"/>
    </row>
    <row r="63">
      <c r="A63" s="81"/>
    </row>
    <row r="64">
      <c r="A64" s="81"/>
    </row>
    <row r="65">
      <c r="A65" s="81"/>
    </row>
    <row r="66">
      <c r="A66" s="81"/>
    </row>
    <row r="67">
      <c r="A67" s="81"/>
    </row>
    <row r="68">
      <c r="A68" s="81"/>
    </row>
    <row r="69">
      <c r="A69" s="81"/>
    </row>
    <row r="70">
      <c r="A70" s="81"/>
    </row>
    <row r="71">
      <c r="A71" s="81"/>
    </row>
    <row r="72">
      <c r="A72" s="81"/>
    </row>
    <row r="73">
      <c r="A73" s="81"/>
    </row>
    <row r="74">
      <c r="A74" s="81"/>
    </row>
    <row r="75">
      <c r="A75" s="81"/>
    </row>
    <row r="76">
      <c r="A76" s="81"/>
    </row>
    <row r="77">
      <c r="A77" s="81"/>
    </row>
    <row r="78">
      <c r="A78" s="81"/>
    </row>
    <row r="79">
      <c r="A79" s="81"/>
    </row>
    <row r="80">
      <c r="A80" s="81"/>
    </row>
    <row r="81">
      <c r="A81" s="81"/>
    </row>
    <row r="82">
      <c r="A82" s="81"/>
    </row>
    <row r="83">
      <c r="A83" s="81"/>
    </row>
    <row r="84">
      <c r="A84" s="81"/>
    </row>
    <row r="85">
      <c r="A85" s="81"/>
    </row>
    <row r="86">
      <c r="A86" s="81"/>
    </row>
    <row r="87">
      <c r="A87" s="81"/>
    </row>
    <row r="88">
      <c r="A88" s="81"/>
    </row>
    <row r="89">
      <c r="A89" s="81"/>
    </row>
    <row r="90">
      <c r="A90" s="81"/>
    </row>
    <row r="91">
      <c r="A91" s="81"/>
    </row>
    <row r="92">
      <c r="A92" s="81"/>
    </row>
    <row r="93">
      <c r="A93" s="81"/>
    </row>
    <row r="94">
      <c r="A94" s="81"/>
    </row>
    <row r="95">
      <c r="A95" s="81"/>
    </row>
    <row r="96">
      <c r="A96" s="81"/>
    </row>
    <row r="97">
      <c r="A97" s="81"/>
    </row>
    <row r="98">
      <c r="A98" s="81"/>
    </row>
    <row r="99">
      <c r="A99" s="81"/>
    </row>
    <row r="100">
      <c r="A100" s="81"/>
    </row>
    <row r="101">
      <c r="A101" s="81"/>
    </row>
    <row r="102">
      <c r="A102" s="81"/>
    </row>
    <row r="103">
      <c r="A103" s="81"/>
    </row>
    <row r="104">
      <c r="A104" s="81"/>
    </row>
    <row r="105">
      <c r="A105" s="81"/>
    </row>
    <row r="106">
      <c r="A106" s="81"/>
    </row>
    <row r="107">
      <c r="A107" s="81"/>
    </row>
    <row r="108">
      <c r="A108" s="81"/>
    </row>
    <row r="109">
      <c r="A109" s="81"/>
    </row>
    <row r="110">
      <c r="A110" s="81"/>
    </row>
    <row r="111">
      <c r="A111" s="81"/>
    </row>
    <row r="112">
      <c r="A112" s="81"/>
    </row>
    <row r="113">
      <c r="A113" s="81"/>
    </row>
    <row r="114">
      <c r="A114" s="81"/>
    </row>
    <row r="115">
      <c r="A115" s="81"/>
    </row>
    <row r="116">
      <c r="A116" s="81"/>
    </row>
    <row r="117">
      <c r="A117" s="81"/>
    </row>
    <row r="118">
      <c r="A118" s="81"/>
    </row>
    <row r="119">
      <c r="A119" s="81"/>
    </row>
    <row r="120">
      <c r="A120" s="81"/>
    </row>
    <row r="121">
      <c r="A121" s="81"/>
    </row>
    <row r="122">
      <c r="A122" s="81"/>
    </row>
    <row r="123">
      <c r="A123" s="81"/>
    </row>
    <row r="124">
      <c r="A124" s="81"/>
    </row>
    <row r="125">
      <c r="A125" s="81"/>
    </row>
    <row r="126">
      <c r="A126" s="81"/>
    </row>
    <row r="127">
      <c r="A127" s="81"/>
    </row>
    <row r="128">
      <c r="A128" s="81"/>
    </row>
    <row r="129">
      <c r="A129" s="81"/>
    </row>
    <row r="130">
      <c r="A130" s="81"/>
    </row>
    <row r="131">
      <c r="A131" s="81"/>
    </row>
    <row r="132">
      <c r="A132" s="81"/>
    </row>
    <row r="133">
      <c r="A133" s="81"/>
    </row>
    <row r="134">
      <c r="A134" s="81"/>
    </row>
    <row r="135">
      <c r="A135" s="81"/>
    </row>
    <row r="136">
      <c r="A136" s="81"/>
    </row>
    <row r="137">
      <c r="A137" s="81"/>
    </row>
    <row r="138">
      <c r="A138" s="81"/>
    </row>
    <row r="139">
      <c r="A139" s="81"/>
    </row>
    <row r="140">
      <c r="A140" s="81"/>
    </row>
    <row r="141">
      <c r="A141" s="81"/>
    </row>
    <row r="142">
      <c r="A142" s="81"/>
    </row>
    <row r="143">
      <c r="A143" s="81"/>
    </row>
    <row r="144">
      <c r="A144" s="81"/>
    </row>
    <row r="145">
      <c r="A145" s="81"/>
    </row>
    <row r="146">
      <c r="A146" s="81"/>
    </row>
    <row r="147">
      <c r="A147" s="81"/>
    </row>
    <row r="148">
      <c r="A148" s="81"/>
    </row>
    <row r="149">
      <c r="A149" s="81"/>
    </row>
    <row r="150">
      <c r="A150" s="81"/>
    </row>
    <row r="151">
      <c r="A151" s="81"/>
    </row>
    <row r="152">
      <c r="A152" s="81"/>
    </row>
    <row r="153">
      <c r="A153" s="81"/>
    </row>
    <row r="154">
      <c r="A154" s="81"/>
    </row>
    <row r="155">
      <c r="A155" s="81"/>
    </row>
    <row r="156">
      <c r="A156" s="81"/>
    </row>
    <row r="157">
      <c r="A157" s="81"/>
    </row>
    <row r="158">
      <c r="A158" s="81"/>
    </row>
    <row r="159">
      <c r="A159" s="81"/>
    </row>
    <row r="160">
      <c r="A160" s="81"/>
    </row>
    <row r="161">
      <c r="A161" s="81"/>
    </row>
    <row r="162">
      <c r="A162" s="81"/>
    </row>
    <row r="163">
      <c r="A163" s="81"/>
    </row>
    <row r="164">
      <c r="A164" s="81"/>
    </row>
    <row r="165">
      <c r="A165" s="81"/>
    </row>
    <row r="166">
      <c r="A166" s="81"/>
    </row>
    <row r="167">
      <c r="A167" s="81"/>
    </row>
    <row r="168">
      <c r="A168" s="81"/>
    </row>
    <row r="169">
      <c r="A169" s="81"/>
    </row>
    <row r="170">
      <c r="A170" s="81"/>
    </row>
    <row r="171">
      <c r="A171" s="81"/>
    </row>
    <row r="172">
      <c r="A172" s="81"/>
    </row>
    <row r="173">
      <c r="A173" s="81"/>
    </row>
    <row r="174">
      <c r="A174" s="81"/>
    </row>
    <row r="175">
      <c r="A175" s="81"/>
    </row>
    <row r="176">
      <c r="A176" s="81"/>
    </row>
    <row r="177">
      <c r="A177" s="81"/>
    </row>
    <row r="178">
      <c r="A178" s="81"/>
    </row>
    <row r="179">
      <c r="A179" s="81"/>
    </row>
    <row r="180">
      <c r="A180" s="81"/>
    </row>
    <row r="181">
      <c r="A181" s="81"/>
    </row>
    <row r="182">
      <c r="A182" s="81"/>
    </row>
    <row r="183">
      <c r="A183" s="81"/>
    </row>
    <row r="184">
      <c r="A184" s="81"/>
    </row>
    <row r="185">
      <c r="A185" s="81"/>
    </row>
    <row r="186">
      <c r="A186" s="81"/>
    </row>
    <row r="187">
      <c r="A187" s="81"/>
    </row>
    <row r="188">
      <c r="A188" s="81"/>
    </row>
    <row r="189">
      <c r="A189" s="81"/>
    </row>
    <row r="190">
      <c r="A190" s="81"/>
    </row>
    <row r="191">
      <c r="A191" s="81"/>
    </row>
    <row r="192">
      <c r="A192" s="81"/>
    </row>
    <row r="193">
      <c r="A193" s="81"/>
    </row>
    <row r="194">
      <c r="A194" s="81"/>
    </row>
    <row r="195">
      <c r="A195" s="81"/>
    </row>
    <row r="196">
      <c r="A196" s="81"/>
    </row>
    <row r="197">
      <c r="A197" s="81"/>
    </row>
    <row r="198">
      <c r="A198" s="81"/>
    </row>
    <row r="199">
      <c r="A199" s="81"/>
    </row>
    <row r="200">
      <c r="A200" s="81"/>
    </row>
    <row r="201">
      <c r="A201" s="81"/>
    </row>
    <row r="202">
      <c r="A202" s="81"/>
    </row>
    <row r="203">
      <c r="A203" s="81"/>
    </row>
    <row r="204">
      <c r="A204" s="81"/>
    </row>
    <row r="205">
      <c r="A205" s="81"/>
    </row>
    <row r="206">
      <c r="A206" s="81"/>
    </row>
    <row r="207">
      <c r="A207" s="81"/>
    </row>
    <row r="208">
      <c r="A208" s="81"/>
    </row>
    <row r="209">
      <c r="A209" s="81"/>
    </row>
    <row r="210">
      <c r="A210" s="81"/>
    </row>
    <row r="211">
      <c r="A211" s="81"/>
    </row>
    <row r="212">
      <c r="A212" s="81"/>
    </row>
    <row r="213">
      <c r="A213" s="81"/>
    </row>
    <row r="214">
      <c r="A214" s="81"/>
    </row>
    <row r="215">
      <c r="A215" s="81"/>
    </row>
    <row r="216">
      <c r="A216" s="81"/>
    </row>
    <row r="217">
      <c r="A217" s="81"/>
    </row>
    <row r="218">
      <c r="A218" s="81"/>
    </row>
    <row r="219">
      <c r="A219" s="81"/>
    </row>
    <row r="220">
      <c r="A220" s="81"/>
    </row>
    <row r="221">
      <c r="A221" s="81"/>
    </row>
    <row r="222">
      <c r="A222" s="81"/>
    </row>
    <row r="223">
      <c r="A223" s="81"/>
    </row>
    <row r="224">
      <c r="A224" s="81"/>
    </row>
    <row r="225">
      <c r="A225" s="81"/>
    </row>
    <row r="226">
      <c r="A226" s="81"/>
    </row>
    <row r="227">
      <c r="A227" s="81"/>
    </row>
    <row r="228">
      <c r="A228" s="81"/>
    </row>
    <row r="229">
      <c r="A229" s="81"/>
    </row>
    <row r="230">
      <c r="A230" s="81"/>
    </row>
    <row r="231">
      <c r="A231" s="81"/>
    </row>
    <row r="232">
      <c r="A232" s="81"/>
    </row>
    <row r="233">
      <c r="A233" s="81"/>
    </row>
    <row r="234">
      <c r="A234" s="81"/>
    </row>
    <row r="235">
      <c r="A235" s="81"/>
    </row>
    <row r="236">
      <c r="A236" s="81"/>
    </row>
    <row r="237">
      <c r="A237" s="81"/>
    </row>
    <row r="238">
      <c r="A238" s="81"/>
    </row>
    <row r="239">
      <c r="A239" s="81"/>
    </row>
    <row r="240">
      <c r="A240" s="81"/>
    </row>
    <row r="241">
      <c r="A241" s="81"/>
    </row>
    <row r="242">
      <c r="A242" s="81"/>
    </row>
    <row r="243">
      <c r="A243" s="81"/>
    </row>
    <row r="244">
      <c r="A244" s="81"/>
    </row>
    <row r="245">
      <c r="A245" s="81"/>
    </row>
    <row r="246">
      <c r="A246" s="81"/>
    </row>
    <row r="247">
      <c r="A247" s="81"/>
    </row>
    <row r="248">
      <c r="A248" s="81"/>
    </row>
    <row r="249">
      <c r="A249" s="81"/>
    </row>
    <row r="250">
      <c r="A250" s="81"/>
    </row>
    <row r="251">
      <c r="A251" s="81"/>
    </row>
    <row r="252">
      <c r="A252" s="81"/>
    </row>
    <row r="253">
      <c r="A253" s="81"/>
    </row>
    <row r="254">
      <c r="A254" s="81"/>
    </row>
    <row r="255">
      <c r="A255" s="81"/>
    </row>
    <row r="256">
      <c r="A256" s="81"/>
    </row>
    <row r="257">
      <c r="A257" s="81"/>
    </row>
    <row r="258">
      <c r="A258" s="81"/>
    </row>
    <row r="259">
      <c r="A259" s="81"/>
    </row>
    <row r="260">
      <c r="A260" s="81"/>
    </row>
    <row r="261">
      <c r="A261" s="81"/>
    </row>
    <row r="262">
      <c r="A262" s="81"/>
    </row>
    <row r="263">
      <c r="A263" s="81"/>
    </row>
    <row r="264">
      <c r="A264" s="81"/>
    </row>
    <row r="265">
      <c r="A265" s="81"/>
    </row>
    <row r="266">
      <c r="A266" s="81"/>
    </row>
    <row r="267">
      <c r="A267" s="81"/>
    </row>
    <row r="268">
      <c r="A268" s="81"/>
    </row>
    <row r="269">
      <c r="A269" s="81"/>
    </row>
    <row r="270">
      <c r="A270" s="81"/>
    </row>
    <row r="271">
      <c r="A271" s="81"/>
    </row>
    <row r="272">
      <c r="A272" s="81"/>
    </row>
    <row r="273">
      <c r="A273" s="81"/>
    </row>
    <row r="274">
      <c r="A274" s="81"/>
    </row>
    <row r="275">
      <c r="A275" s="81"/>
    </row>
    <row r="276">
      <c r="A276" s="81"/>
    </row>
    <row r="277">
      <c r="A277" s="81"/>
    </row>
    <row r="278">
      <c r="A278" s="81"/>
    </row>
    <row r="279">
      <c r="A279" s="81"/>
    </row>
    <row r="280">
      <c r="A280" s="81"/>
    </row>
    <row r="281">
      <c r="A281" s="81"/>
    </row>
    <row r="282">
      <c r="A282" s="81"/>
    </row>
    <row r="283">
      <c r="A283" s="81"/>
    </row>
    <row r="284">
      <c r="A284" s="81"/>
    </row>
    <row r="285">
      <c r="A285" s="81"/>
    </row>
    <row r="286">
      <c r="A286" s="81"/>
    </row>
    <row r="287">
      <c r="A287" s="81"/>
    </row>
    <row r="288">
      <c r="A288" s="81"/>
    </row>
    <row r="289">
      <c r="A289" s="81"/>
    </row>
    <row r="290">
      <c r="A290" s="81"/>
    </row>
    <row r="291">
      <c r="A291" s="81"/>
    </row>
    <row r="292">
      <c r="A292" s="81"/>
    </row>
    <row r="293">
      <c r="A293" s="81"/>
    </row>
    <row r="294">
      <c r="A294" s="81"/>
    </row>
    <row r="295">
      <c r="A295" s="81"/>
    </row>
    <row r="296">
      <c r="A296" s="81"/>
    </row>
    <row r="297">
      <c r="A297" s="81"/>
    </row>
    <row r="298">
      <c r="A298" s="81"/>
    </row>
    <row r="299">
      <c r="A299" s="81"/>
    </row>
    <row r="300">
      <c r="A300" s="81"/>
    </row>
    <row r="301">
      <c r="A301" s="81"/>
    </row>
    <row r="302">
      <c r="A302" s="81"/>
    </row>
    <row r="303">
      <c r="A303" s="81"/>
    </row>
    <row r="304">
      <c r="A304" s="81"/>
    </row>
    <row r="305">
      <c r="A305" s="81"/>
    </row>
    <row r="306">
      <c r="A306" s="81"/>
    </row>
    <row r="307">
      <c r="A307" s="81"/>
    </row>
    <row r="308">
      <c r="A308" s="81"/>
    </row>
    <row r="309">
      <c r="A309" s="81"/>
    </row>
    <row r="310">
      <c r="A310" s="81"/>
    </row>
    <row r="311">
      <c r="A311" s="81"/>
    </row>
    <row r="312">
      <c r="A312" s="81"/>
    </row>
    <row r="313">
      <c r="A313" s="81"/>
    </row>
    <row r="314">
      <c r="A314" s="81"/>
    </row>
    <row r="315">
      <c r="A315" s="81"/>
    </row>
    <row r="316">
      <c r="A316" s="81"/>
    </row>
    <row r="317">
      <c r="A317" s="81"/>
    </row>
    <row r="318">
      <c r="A318" s="81"/>
    </row>
    <row r="319">
      <c r="A319" s="81"/>
    </row>
    <row r="320">
      <c r="A320" s="81"/>
    </row>
    <row r="321">
      <c r="A321" s="81"/>
    </row>
    <row r="322">
      <c r="A322" s="81"/>
    </row>
    <row r="323">
      <c r="A323" s="81"/>
    </row>
    <row r="324">
      <c r="A324" s="81"/>
    </row>
    <row r="325">
      <c r="A325" s="81"/>
    </row>
    <row r="326">
      <c r="A326" s="81"/>
    </row>
    <row r="327">
      <c r="A327" s="81"/>
    </row>
    <row r="328">
      <c r="A328" s="81"/>
    </row>
    <row r="329">
      <c r="A329" s="81"/>
    </row>
    <row r="330">
      <c r="A330" s="81"/>
    </row>
    <row r="331">
      <c r="A331" s="81"/>
    </row>
    <row r="332">
      <c r="A332" s="81"/>
    </row>
    <row r="333">
      <c r="A333" s="81"/>
    </row>
    <row r="334">
      <c r="A334" s="81"/>
    </row>
    <row r="335">
      <c r="A335" s="81"/>
    </row>
    <row r="336">
      <c r="A336" s="81"/>
    </row>
    <row r="337">
      <c r="A337" s="81"/>
    </row>
    <row r="338">
      <c r="A338" s="81"/>
    </row>
    <row r="339">
      <c r="A339" s="81"/>
    </row>
    <row r="340">
      <c r="A340" s="81"/>
    </row>
    <row r="341">
      <c r="A341" s="81"/>
    </row>
    <row r="342">
      <c r="A342" s="81"/>
    </row>
    <row r="343">
      <c r="A343" s="81"/>
    </row>
    <row r="344">
      <c r="A344" s="81"/>
    </row>
    <row r="345">
      <c r="A345" s="81"/>
    </row>
    <row r="346">
      <c r="A346" s="81"/>
    </row>
    <row r="347">
      <c r="A347" s="81"/>
    </row>
    <row r="348">
      <c r="A348" s="81"/>
    </row>
    <row r="349">
      <c r="A349" s="81"/>
    </row>
    <row r="350">
      <c r="A350" s="81"/>
    </row>
    <row r="351">
      <c r="A351" s="81"/>
    </row>
    <row r="352">
      <c r="A352" s="81"/>
    </row>
    <row r="353">
      <c r="A353" s="81"/>
    </row>
    <row r="354">
      <c r="A354" s="81"/>
    </row>
    <row r="355">
      <c r="A355" s="81"/>
    </row>
    <row r="356">
      <c r="A356" s="81"/>
    </row>
    <row r="357">
      <c r="A357" s="81"/>
    </row>
    <row r="358">
      <c r="A358" s="81"/>
    </row>
    <row r="359">
      <c r="A359" s="81"/>
    </row>
    <row r="360">
      <c r="A360" s="81"/>
    </row>
    <row r="361">
      <c r="A361" s="81"/>
    </row>
    <row r="362">
      <c r="A362" s="81"/>
    </row>
    <row r="363">
      <c r="A363" s="81"/>
    </row>
    <row r="364">
      <c r="A364" s="81"/>
    </row>
    <row r="365">
      <c r="A365" s="81"/>
    </row>
    <row r="366">
      <c r="A366" s="81"/>
    </row>
    <row r="367">
      <c r="A367" s="81"/>
    </row>
    <row r="368">
      <c r="A368" s="81"/>
    </row>
    <row r="369">
      <c r="A369" s="81"/>
    </row>
    <row r="370">
      <c r="A370" s="81"/>
    </row>
    <row r="371">
      <c r="A371" s="81"/>
    </row>
    <row r="372">
      <c r="A372" s="81"/>
    </row>
    <row r="373">
      <c r="A373" s="81"/>
    </row>
    <row r="374">
      <c r="A374" s="81"/>
    </row>
    <row r="375">
      <c r="A375" s="81"/>
    </row>
    <row r="376">
      <c r="A376" s="81"/>
    </row>
    <row r="377">
      <c r="A377" s="81"/>
    </row>
    <row r="378">
      <c r="A378" s="81"/>
    </row>
    <row r="379">
      <c r="A379" s="81"/>
    </row>
    <row r="380">
      <c r="A380" s="81"/>
    </row>
    <row r="381">
      <c r="A381" s="81"/>
    </row>
    <row r="382">
      <c r="A382" s="81"/>
    </row>
    <row r="383">
      <c r="A383" s="81"/>
    </row>
    <row r="384">
      <c r="A384" s="81"/>
    </row>
    <row r="385">
      <c r="A385" s="81"/>
    </row>
    <row r="386">
      <c r="A386" s="81"/>
    </row>
    <row r="387">
      <c r="A387" s="81"/>
    </row>
    <row r="388">
      <c r="A388" s="81"/>
    </row>
    <row r="389">
      <c r="A389" s="81"/>
    </row>
    <row r="390">
      <c r="A390" s="81"/>
    </row>
    <row r="391">
      <c r="A391" s="81"/>
    </row>
    <row r="392">
      <c r="A392" s="81"/>
    </row>
    <row r="393">
      <c r="A393" s="81"/>
    </row>
    <row r="394">
      <c r="A394" s="81"/>
    </row>
    <row r="395">
      <c r="A395" s="81"/>
    </row>
    <row r="396">
      <c r="A396" s="81"/>
    </row>
    <row r="397">
      <c r="A397" s="81"/>
    </row>
    <row r="398">
      <c r="A398" s="81"/>
    </row>
    <row r="399">
      <c r="A399" s="81"/>
    </row>
    <row r="400">
      <c r="A400" s="81"/>
    </row>
    <row r="401">
      <c r="A401" s="81"/>
    </row>
    <row r="402">
      <c r="A402" s="81"/>
    </row>
    <row r="403">
      <c r="A403" s="81"/>
    </row>
    <row r="404">
      <c r="A404" s="81"/>
    </row>
    <row r="405">
      <c r="A405" s="81"/>
    </row>
    <row r="406">
      <c r="A406" s="81"/>
    </row>
    <row r="407">
      <c r="A407" s="81"/>
    </row>
    <row r="408">
      <c r="A408" s="81"/>
    </row>
    <row r="409">
      <c r="A409" s="81"/>
    </row>
    <row r="410">
      <c r="A410" s="81"/>
    </row>
    <row r="411">
      <c r="A411" s="81"/>
    </row>
    <row r="412">
      <c r="A412" s="81"/>
    </row>
    <row r="413">
      <c r="A413" s="81"/>
    </row>
    <row r="414">
      <c r="A414" s="81"/>
    </row>
    <row r="415">
      <c r="A415" s="81"/>
    </row>
    <row r="416">
      <c r="A416" s="81"/>
    </row>
    <row r="417">
      <c r="A417" s="81"/>
    </row>
    <row r="418">
      <c r="A418" s="81"/>
    </row>
    <row r="419">
      <c r="A419" s="81"/>
    </row>
    <row r="420">
      <c r="A420" s="81"/>
    </row>
    <row r="421">
      <c r="A421" s="81"/>
    </row>
    <row r="422">
      <c r="A422" s="81"/>
    </row>
    <row r="423">
      <c r="A423" s="81"/>
    </row>
    <row r="424">
      <c r="A424" s="81"/>
    </row>
    <row r="425">
      <c r="A425" s="81"/>
    </row>
    <row r="426">
      <c r="A426" s="81"/>
    </row>
    <row r="427">
      <c r="A427" s="81"/>
    </row>
    <row r="428">
      <c r="A428" s="81"/>
    </row>
    <row r="429">
      <c r="A429" s="81"/>
    </row>
    <row r="430">
      <c r="A430" s="81"/>
    </row>
    <row r="431">
      <c r="A431" s="81"/>
    </row>
    <row r="432">
      <c r="A432" s="81"/>
    </row>
    <row r="433">
      <c r="A433" s="81"/>
    </row>
    <row r="434">
      <c r="A434" s="81"/>
    </row>
    <row r="435">
      <c r="A435" s="81"/>
    </row>
    <row r="436">
      <c r="A436" s="81"/>
    </row>
    <row r="437">
      <c r="A437" s="81"/>
    </row>
    <row r="438">
      <c r="A438" s="81"/>
    </row>
    <row r="439">
      <c r="A439" s="81"/>
    </row>
    <row r="440">
      <c r="A440" s="81"/>
    </row>
    <row r="441">
      <c r="A441" s="81"/>
    </row>
    <row r="442">
      <c r="A442" s="81"/>
    </row>
    <row r="443">
      <c r="A443" s="81"/>
    </row>
    <row r="444">
      <c r="A444" s="81"/>
    </row>
    <row r="445">
      <c r="A445" s="81"/>
    </row>
    <row r="446">
      <c r="A446" s="81"/>
    </row>
    <row r="447">
      <c r="A447" s="81"/>
    </row>
    <row r="448">
      <c r="A448" s="81"/>
    </row>
    <row r="449">
      <c r="A449" s="81"/>
    </row>
    <row r="450">
      <c r="A450" s="81"/>
    </row>
    <row r="451">
      <c r="A451" s="81"/>
    </row>
    <row r="452">
      <c r="A452" s="81"/>
    </row>
    <row r="453">
      <c r="A453" s="81"/>
    </row>
    <row r="454">
      <c r="A454" s="81"/>
    </row>
    <row r="455">
      <c r="A455" s="81"/>
    </row>
    <row r="456">
      <c r="A456" s="81"/>
    </row>
    <row r="457">
      <c r="A457" s="81"/>
    </row>
    <row r="458">
      <c r="A458" s="81"/>
    </row>
    <row r="459">
      <c r="A459" s="81"/>
    </row>
    <row r="460">
      <c r="A460" s="81"/>
    </row>
    <row r="461">
      <c r="A461" s="81"/>
    </row>
    <row r="462">
      <c r="A462" s="81"/>
    </row>
    <row r="463">
      <c r="A463" s="81"/>
    </row>
    <row r="464">
      <c r="A464" s="81"/>
    </row>
    <row r="465">
      <c r="A465" s="81"/>
    </row>
    <row r="466">
      <c r="A466" s="81"/>
    </row>
    <row r="467">
      <c r="A467" s="81"/>
    </row>
    <row r="468">
      <c r="A468" s="81"/>
    </row>
    <row r="469">
      <c r="A469" s="81"/>
    </row>
    <row r="470">
      <c r="A470" s="81"/>
    </row>
    <row r="471">
      <c r="A471" s="81"/>
    </row>
    <row r="472">
      <c r="A472" s="81"/>
    </row>
    <row r="473">
      <c r="A473" s="81"/>
    </row>
    <row r="474">
      <c r="A474" s="81"/>
    </row>
    <row r="475">
      <c r="A475" s="81"/>
    </row>
    <row r="476">
      <c r="A476" s="81"/>
    </row>
    <row r="477">
      <c r="A477" s="81"/>
    </row>
    <row r="478">
      <c r="A478" s="81"/>
    </row>
    <row r="479">
      <c r="A479" s="81"/>
    </row>
    <row r="480">
      <c r="A480" s="81"/>
    </row>
    <row r="481">
      <c r="A481" s="81"/>
    </row>
    <row r="482">
      <c r="A482" s="81"/>
    </row>
    <row r="483">
      <c r="A483" s="81"/>
    </row>
    <row r="484">
      <c r="A484" s="81"/>
    </row>
    <row r="485">
      <c r="A485" s="81"/>
    </row>
    <row r="486">
      <c r="A486" s="81"/>
    </row>
    <row r="487">
      <c r="A487" s="81"/>
    </row>
    <row r="488">
      <c r="A488" s="81"/>
    </row>
    <row r="489">
      <c r="A489" s="81"/>
    </row>
    <row r="490">
      <c r="A490" s="81"/>
    </row>
    <row r="491">
      <c r="A491" s="81"/>
    </row>
    <row r="492">
      <c r="A492" s="81"/>
    </row>
    <row r="493">
      <c r="A493" s="81"/>
    </row>
    <row r="494">
      <c r="A494" s="81"/>
    </row>
    <row r="495">
      <c r="A495" s="81"/>
    </row>
    <row r="496">
      <c r="A496" s="81"/>
    </row>
    <row r="497">
      <c r="A497" s="81"/>
    </row>
    <row r="498">
      <c r="A498" s="81"/>
    </row>
    <row r="499">
      <c r="A499" s="81"/>
    </row>
    <row r="500">
      <c r="A500" s="81"/>
    </row>
    <row r="501">
      <c r="A501" s="81"/>
    </row>
    <row r="502">
      <c r="A502" s="81"/>
    </row>
    <row r="503">
      <c r="A503" s="81"/>
    </row>
    <row r="504">
      <c r="A504" s="81"/>
    </row>
    <row r="505">
      <c r="A505" s="81"/>
    </row>
    <row r="506">
      <c r="A506" s="81"/>
    </row>
    <row r="507">
      <c r="A507" s="81"/>
    </row>
    <row r="508">
      <c r="A508" s="81"/>
    </row>
    <row r="509">
      <c r="A509" s="81"/>
    </row>
    <row r="510">
      <c r="A510" s="81"/>
    </row>
    <row r="511">
      <c r="A511" s="81"/>
    </row>
    <row r="512">
      <c r="A512" s="81"/>
    </row>
    <row r="513">
      <c r="A513" s="81"/>
    </row>
    <row r="514">
      <c r="A514" s="81"/>
    </row>
    <row r="515">
      <c r="A515" s="81"/>
    </row>
    <row r="516">
      <c r="A516" s="81"/>
    </row>
    <row r="517">
      <c r="A517" s="81"/>
    </row>
    <row r="518">
      <c r="A518" s="81"/>
    </row>
    <row r="519">
      <c r="A519" s="81"/>
    </row>
    <row r="520">
      <c r="A520" s="81"/>
    </row>
    <row r="521">
      <c r="A521" s="81"/>
    </row>
    <row r="522">
      <c r="A522" s="81"/>
    </row>
    <row r="523">
      <c r="A523" s="81"/>
    </row>
    <row r="524">
      <c r="A524" s="81"/>
    </row>
    <row r="525">
      <c r="A525" s="81"/>
    </row>
    <row r="526">
      <c r="A526" s="81"/>
    </row>
    <row r="527">
      <c r="A527" s="81"/>
    </row>
    <row r="528">
      <c r="A528" s="81"/>
    </row>
    <row r="529">
      <c r="A529" s="81"/>
    </row>
    <row r="530">
      <c r="A530" s="81"/>
    </row>
    <row r="531">
      <c r="A531" s="81"/>
    </row>
    <row r="532">
      <c r="A532" s="81"/>
    </row>
    <row r="533">
      <c r="A533" s="81"/>
    </row>
    <row r="534">
      <c r="A534" s="81"/>
    </row>
    <row r="535">
      <c r="A535" s="81"/>
    </row>
    <row r="536">
      <c r="A536" s="81"/>
    </row>
    <row r="537">
      <c r="A537" s="81"/>
    </row>
    <row r="538">
      <c r="A538" s="81"/>
    </row>
    <row r="539">
      <c r="A539" s="81"/>
    </row>
    <row r="540">
      <c r="A540" s="81"/>
    </row>
    <row r="541">
      <c r="A541" s="81"/>
    </row>
    <row r="542">
      <c r="A542" s="81"/>
    </row>
    <row r="543">
      <c r="A543" s="81"/>
    </row>
    <row r="544">
      <c r="A544" s="81"/>
    </row>
    <row r="545">
      <c r="A545" s="81"/>
    </row>
    <row r="546">
      <c r="A546" s="81"/>
    </row>
    <row r="547">
      <c r="A547" s="81"/>
    </row>
    <row r="548">
      <c r="A548" s="81"/>
    </row>
    <row r="549">
      <c r="A549" s="81"/>
    </row>
    <row r="550">
      <c r="A550" s="81"/>
    </row>
    <row r="551">
      <c r="A551" s="81"/>
    </row>
    <row r="552">
      <c r="A552" s="81"/>
    </row>
    <row r="553">
      <c r="A553" s="81"/>
    </row>
    <row r="554">
      <c r="A554" s="81"/>
    </row>
    <row r="555">
      <c r="A555" s="81"/>
    </row>
    <row r="556">
      <c r="A556" s="81"/>
    </row>
    <row r="557">
      <c r="A557" s="81"/>
    </row>
    <row r="558">
      <c r="A558" s="81"/>
    </row>
    <row r="559">
      <c r="A559" s="81"/>
    </row>
    <row r="560">
      <c r="A560" s="81"/>
    </row>
    <row r="561">
      <c r="A561" s="81"/>
    </row>
    <row r="562">
      <c r="A562" s="81"/>
    </row>
    <row r="563">
      <c r="A563" s="81"/>
    </row>
    <row r="564">
      <c r="A564" s="81"/>
    </row>
    <row r="565">
      <c r="A565" s="81"/>
    </row>
    <row r="566">
      <c r="A566" s="81"/>
    </row>
    <row r="567">
      <c r="A567" s="81"/>
    </row>
    <row r="568">
      <c r="A568" s="81"/>
    </row>
    <row r="569">
      <c r="A569" s="81"/>
    </row>
    <row r="570">
      <c r="A570" s="81"/>
    </row>
    <row r="571">
      <c r="A571" s="81"/>
    </row>
    <row r="572">
      <c r="A572" s="81"/>
    </row>
    <row r="573">
      <c r="A573" s="81"/>
    </row>
    <row r="574">
      <c r="A574" s="81"/>
    </row>
    <row r="575">
      <c r="A575" s="81"/>
    </row>
    <row r="576">
      <c r="A576" s="81"/>
    </row>
    <row r="577">
      <c r="A577" s="81"/>
    </row>
    <row r="578">
      <c r="A578" s="81"/>
    </row>
    <row r="579">
      <c r="A579" s="81"/>
    </row>
    <row r="580">
      <c r="A580" s="81"/>
    </row>
    <row r="581">
      <c r="A581" s="81"/>
    </row>
    <row r="582">
      <c r="A582" s="81"/>
    </row>
    <row r="583">
      <c r="A583" s="81"/>
    </row>
    <row r="584">
      <c r="A584" s="81"/>
    </row>
    <row r="585">
      <c r="A585" s="81"/>
    </row>
    <row r="586">
      <c r="A586" s="81"/>
    </row>
    <row r="587">
      <c r="A587" s="81"/>
    </row>
    <row r="588">
      <c r="A588" s="81"/>
    </row>
    <row r="589">
      <c r="A589" s="81"/>
    </row>
    <row r="590">
      <c r="A590" s="81"/>
    </row>
    <row r="591">
      <c r="A591" s="81"/>
    </row>
    <row r="592">
      <c r="A592" s="81"/>
    </row>
    <row r="593">
      <c r="A593" s="81"/>
    </row>
    <row r="594">
      <c r="A594" s="81"/>
    </row>
    <row r="595">
      <c r="A595" s="81"/>
    </row>
    <row r="596">
      <c r="A596" s="81"/>
    </row>
    <row r="597">
      <c r="A597" s="81"/>
    </row>
    <row r="598">
      <c r="A598" s="81"/>
    </row>
    <row r="599">
      <c r="A599" s="81"/>
    </row>
    <row r="600">
      <c r="A600" s="81"/>
    </row>
    <row r="601">
      <c r="A601" s="81"/>
    </row>
    <row r="602">
      <c r="A602" s="81"/>
    </row>
    <row r="603">
      <c r="A603" s="81"/>
    </row>
    <row r="604">
      <c r="A604" s="81"/>
    </row>
    <row r="605">
      <c r="A605" s="81"/>
    </row>
    <row r="606">
      <c r="A606" s="81"/>
    </row>
    <row r="607">
      <c r="A607" s="81"/>
    </row>
    <row r="608">
      <c r="A608" s="81"/>
    </row>
    <row r="609">
      <c r="A609" s="81"/>
    </row>
    <row r="610">
      <c r="A610" s="81"/>
    </row>
    <row r="611">
      <c r="A611" s="81"/>
    </row>
    <row r="612">
      <c r="A612" s="81"/>
    </row>
    <row r="613">
      <c r="A613" s="81"/>
    </row>
    <row r="614">
      <c r="A614" s="81"/>
    </row>
    <row r="615">
      <c r="A615" s="81"/>
    </row>
    <row r="616">
      <c r="A616" s="81"/>
    </row>
    <row r="617">
      <c r="A617" s="81"/>
    </row>
    <row r="618">
      <c r="A618" s="81"/>
    </row>
    <row r="619">
      <c r="A619" s="81"/>
    </row>
    <row r="620">
      <c r="A620" s="81"/>
    </row>
    <row r="621">
      <c r="A621" s="81"/>
    </row>
    <row r="622">
      <c r="A622" s="81"/>
    </row>
    <row r="623">
      <c r="A623" s="81"/>
    </row>
    <row r="624">
      <c r="A624" s="81"/>
    </row>
    <row r="625">
      <c r="A625" s="81"/>
    </row>
    <row r="626">
      <c r="A626" s="81"/>
    </row>
    <row r="627">
      <c r="A627" s="81"/>
    </row>
    <row r="628">
      <c r="A628" s="81"/>
    </row>
    <row r="629">
      <c r="A629" s="81"/>
    </row>
    <row r="630">
      <c r="A630" s="81"/>
    </row>
    <row r="631">
      <c r="A631" s="81"/>
    </row>
    <row r="632">
      <c r="A632" s="81"/>
    </row>
    <row r="633">
      <c r="A633" s="81"/>
    </row>
    <row r="634">
      <c r="A634" s="81"/>
    </row>
    <row r="635">
      <c r="A635" s="81"/>
    </row>
    <row r="636">
      <c r="A636" s="81"/>
    </row>
    <row r="637">
      <c r="A637" s="81"/>
    </row>
    <row r="638">
      <c r="A638" s="81"/>
    </row>
    <row r="639">
      <c r="A639" s="81"/>
    </row>
    <row r="640">
      <c r="A640" s="81"/>
    </row>
    <row r="641">
      <c r="A641" s="81"/>
    </row>
    <row r="642">
      <c r="A642" s="81"/>
    </row>
    <row r="643">
      <c r="A643" s="81"/>
    </row>
    <row r="644">
      <c r="A644" s="81"/>
    </row>
    <row r="645">
      <c r="A645" s="81"/>
    </row>
    <row r="646">
      <c r="A646" s="81"/>
    </row>
    <row r="647">
      <c r="A647" s="81"/>
    </row>
    <row r="648">
      <c r="A648" s="81"/>
    </row>
    <row r="649">
      <c r="A649" s="81"/>
    </row>
    <row r="650">
      <c r="A650" s="81"/>
    </row>
    <row r="651">
      <c r="A651" s="81"/>
    </row>
    <row r="652">
      <c r="A652" s="81"/>
    </row>
    <row r="653">
      <c r="A653" s="81"/>
    </row>
    <row r="654">
      <c r="A654" s="81"/>
    </row>
    <row r="655">
      <c r="A655" s="81"/>
    </row>
    <row r="656">
      <c r="A656" s="81"/>
    </row>
    <row r="657">
      <c r="A657" s="81"/>
    </row>
    <row r="658">
      <c r="A658" s="81"/>
    </row>
    <row r="659">
      <c r="A659" s="81"/>
    </row>
    <row r="660">
      <c r="A660" s="81"/>
    </row>
    <row r="661">
      <c r="A661" s="81"/>
    </row>
    <row r="662">
      <c r="A662" s="81"/>
    </row>
    <row r="663">
      <c r="A663" s="81"/>
    </row>
    <row r="664">
      <c r="A664" s="81"/>
    </row>
    <row r="665">
      <c r="A665" s="81"/>
    </row>
    <row r="666">
      <c r="A666" s="81"/>
    </row>
    <row r="667">
      <c r="A667" s="81"/>
    </row>
    <row r="668">
      <c r="A668" s="81"/>
    </row>
    <row r="669">
      <c r="A669" s="81"/>
    </row>
    <row r="670">
      <c r="A670" s="81"/>
    </row>
    <row r="671">
      <c r="A671" s="81"/>
    </row>
    <row r="672">
      <c r="A672" s="81"/>
    </row>
    <row r="673">
      <c r="A673" s="81"/>
    </row>
    <row r="674">
      <c r="A674" s="81"/>
    </row>
    <row r="675">
      <c r="A675" s="81"/>
    </row>
    <row r="676">
      <c r="A676" s="81"/>
    </row>
    <row r="677">
      <c r="A677" s="81"/>
    </row>
    <row r="678">
      <c r="A678" s="81"/>
    </row>
    <row r="679">
      <c r="A679" s="81"/>
    </row>
    <row r="680">
      <c r="A680" s="81"/>
    </row>
    <row r="681">
      <c r="A681" s="81"/>
    </row>
    <row r="682">
      <c r="A682" s="81"/>
    </row>
    <row r="683">
      <c r="A683" s="81"/>
    </row>
    <row r="684">
      <c r="A684" s="81"/>
    </row>
    <row r="685">
      <c r="A685" s="81"/>
    </row>
    <row r="686">
      <c r="A686" s="81"/>
    </row>
    <row r="687">
      <c r="A687" s="81"/>
    </row>
    <row r="688">
      <c r="A688" s="81"/>
    </row>
    <row r="689">
      <c r="A689" s="81"/>
    </row>
    <row r="690">
      <c r="A690" s="81"/>
    </row>
    <row r="691">
      <c r="A691" s="81"/>
    </row>
    <row r="692">
      <c r="A692" s="81"/>
    </row>
    <row r="693">
      <c r="A693" s="81"/>
    </row>
    <row r="694">
      <c r="A694" s="81"/>
    </row>
    <row r="695">
      <c r="A695" s="81"/>
    </row>
    <row r="696">
      <c r="A696" s="81"/>
    </row>
    <row r="697">
      <c r="A697" s="81"/>
    </row>
    <row r="698">
      <c r="A698" s="81"/>
    </row>
    <row r="699">
      <c r="A699" s="81"/>
    </row>
    <row r="700">
      <c r="A700" s="81"/>
    </row>
    <row r="701">
      <c r="A701" s="81"/>
    </row>
    <row r="702">
      <c r="A702" s="81"/>
    </row>
    <row r="703">
      <c r="A703" s="81"/>
    </row>
    <row r="704">
      <c r="A704" s="81"/>
    </row>
    <row r="705">
      <c r="A705" s="81"/>
    </row>
    <row r="706">
      <c r="A706" s="81"/>
    </row>
    <row r="707">
      <c r="A707" s="81"/>
    </row>
    <row r="708">
      <c r="A708" s="81"/>
    </row>
    <row r="709">
      <c r="A709" s="81"/>
    </row>
    <row r="710">
      <c r="A710" s="81"/>
    </row>
    <row r="711">
      <c r="A711" s="81"/>
    </row>
    <row r="712">
      <c r="A712" s="81"/>
    </row>
    <row r="713">
      <c r="A713" s="81"/>
    </row>
    <row r="714">
      <c r="A714" s="81"/>
    </row>
    <row r="715">
      <c r="A715" s="81"/>
    </row>
    <row r="716">
      <c r="A716" s="81"/>
    </row>
    <row r="717">
      <c r="A717" s="81"/>
    </row>
    <row r="718">
      <c r="A718" s="81"/>
    </row>
    <row r="719">
      <c r="A719" s="81"/>
    </row>
    <row r="720">
      <c r="A720" s="81"/>
    </row>
    <row r="721">
      <c r="A721" s="81"/>
    </row>
    <row r="722">
      <c r="A722" s="81"/>
    </row>
    <row r="723">
      <c r="A723" s="81"/>
    </row>
    <row r="724">
      <c r="A724" s="81"/>
    </row>
    <row r="725">
      <c r="A725" s="81"/>
    </row>
    <row r="726">
      <c r="A726" s="81"/>
    </row>
    <row r="727">
      <c r="A727" s="81"/>
    </row>
    <row r="728">
      <c r="A728" s="81"/>
    </row>
    <row r="729">
      <c r="A729" s="81"/>
    </row>
    <row r="730">
      <c r="A730" s="81"/>
    </row>
    <row r="731">
      <c r="A731" s="81"/>
    </row>
    <row r="732">
      <c r="A732" s="81"/>
    </row>
    <row r="733">
      <c r="A733" s="81"/>
    </row>
    <row r="734">
      <c r="A734" s="81"/>
    </row>
    <row r="735">
      <c r="A735" s="81"/>
    </row>
    <row r="736">
      <c r="A736" s="81"/>
    </row>
    <row r="737">
      <c r="A737" s="81"/>
    </row>
    <row r="738">
      <c r="A738" s="81"/>
    </row>
    <row r="739">
      <c r="A739" s="81"/>
    </row>
    <row r="740">
      <c r="A740" s="81"/>
    </row>
    <row r="741">
      <c r="A741" s="81"/>
    </row>
    <row r="742">
      <c r="A742" s="81"/>
    </row>
    <row r="743">
      <c r="A743" s="81"/>
    </row>
    <row r="744">
      <c r="A744" s="81"/>
    </row>
    <row r="745">
      <c r="A745" s="81"/>
    </row>
    <row r="746">
      <c r="A746" s="81"/>
    </row>
    <row r="747">
      <c r="A747" s="81"/>
    </row>
    <row r="748">
      <c r="A748" s="81"/>
    </row>
    <row r="749">
      <c r="A749" s="81"/>
    </row>
    <row r="750">
      <c r="A750" s="81"/>
    </row>
    <row r="751">
      <c r="A751" s="81"/>
    </row>
    <row r="752">
      <c r="A752" s="81"/>
    </row>
    <row r="753">
      <c r="A753" s="81"/>
    </row>
    <row r="754">
      <c r="A754" s="81"/>
    </row>
    <row r="755">
      <c r="A755" s="81"/>
    </row>
    <row r="756">
      <c r="A756" s="81"/>
    </row>
    <row r="757">
      <c r="A757" s="81"/>
    </row>
    <row r="758">
      <c r="A758" s="81"/>
    </row>
    <row r="759">
      <c r="A759" s="81"/>
    </row>
    <row r="760">
      <c r="A760" s="81"/>
    </row>
    <row r="761">
      <c r="A761" s="81"/>
    </row>
    <row r="762">
      <c r="A762" s="81"/>
    </row>
    <row r="763">
      <c r="A763" s="81"/>
    </row>
    <row r="764">
      <c r="A764" s="81"/>
    </row>
    <row r="765">
      <c r="A765" s="81"/>
    </row>
    <row r="766">
      <c r="A766" s="81"/>
    </row>
    <row r="767">
      <c r="A767" s="81"/>
    </row>
    <row r="768">
      <c r="A768" s="81"/>
    </row>
    <row r="769">
      <c r="A769" s="81"/>
    </row>
    <row r="770">
      <c r="A770" s="81"/>
    </row>
    <row r="771">
      <c r="A771" s="81"/>
    </row>
    <row r="772">
      <c r="A772" s="81"/>
    </row>
    <row r="773">
      <c r="A773" s="81"/>
    </row>
    <row r="774">
      <c r="A774" s="81"/>
    </row>
    <row r="775">
      <c r="A775" s="81"/>
    </row>
    <row r="776">
      <c r="A776" s="81"/>
    </row>
    <row r="777">
      <c r="A777" s="81"/>
    </row>
    <row r="778">
      <c r="A778" s="81"/>
    </row>
    <row r="779">
      <c r="A779" s="81"/>
    </row>
    <row r="780">
      <c r="A780" s="81"/>
    </row>
    <row r="781">
      <c r="A781" s="81"/>
    </row>
    <row r="782">
      <c r="A782" s="81"/>
    </row>
    <row r="783">
      <c r="A783" s="81"/>
    </row>
    <row r="784">
      <c r="A784" s="81"/>
    </row>
    <row r="785">
      <c r="A785" s="81"/>
    </row>
    <row r="786">
      <c r="A786" s="81"/>
    </row>
    <row r="787">
      <c r="A787" s="81"/>
    </row>
    <row r="788">
      <c r="A788" s="81"/>
    </row>
    <row r="789">
      <c r="A789" s="81"/>
    </row>
    <row r="790">
      <c r="A790" s="81"/>
    </row>
    <row r="791">
      <c r="A791" s="81"/>
    </row>
    <row r="792">
      <c r="A792" s="81"/>
    </row>
    <row r="793">
      <c r="A793" s="81"/>
    </row>
    <row r="794">
      <c r="A794" s="81"/>
    </row>
    <row r="795">
      <c r="A795" s="81"/>
    </row>
    <row r="796">
      <c r="A796" s="81"/>
    </row>
    <row r="797">
      <c r="A797" s="81"/>
    </row>
    <row r="798">
      <c r="A798" s="81"/>
    </row>
    <row r="799">
      <c r="A799" s="81"/>
    </row>
    <row r="800">
      <c r="A800" s="81"/>
    </row>
    <row r="801">
      <c r="A801" s="81"/>
    </row>
    <row r="802">
      <c r="A802" s="81"/>
    </row>
    <row r="803">
      <c r="A803" s="81"/>
    </row>
    <row r="804">
      <c r="A804" s="81"/>
    </row>
    <row r="805">
      <c r="A805" s="81"/>
    </row>
    <row r="806">
      <c r="A806" s="81"/>
    </row>
    <row r="807">
      <c r="A807" s="81"/>
    </row>
    <row r="808">
      <c r="A808" s="81"/>
    </row>
    <row r="809">
      <c r="A809" s="81"/>
    </row>
    <row r="810">
      <c r="A810" s="81"/>
    </row>
    <row r="811">
      <c r="A811" s="81"/>
    </row>
    <row r="812">
      <c r="A812" s="81"/>
    </row>
    <row r="813">
      <c r="A813" s="81"/>
    </row>
    <row r="814">
      <c r="A814" s="81"/>
    </row>
    <row r="815">
      <c r="A815" s="81"/>
    </row>
    <row r="816">
      <c r="A816" s="81"/>
    </row>
    <row r="817">
      <c r="A817" s="81"/>
    </row>
    <row r="818">
      <c r="A818" s="81"/>
    </row>
    <row r="819">
      <c r="A819" s="81"/>
    </row>
    <row r="820">
      <c r="A820" s="81"/>
    </row>
    <row r="821">
      <c r="A821" s="81"/>
    </row>
    <row r="822">
      <c r="A822" s="81"/>
    </row>
    <row r="823">
      <c r="A823" s="81"/>
    </row>
    <row r="824">
      <c r="A824" s="81"/>
    </row>
    <row r="825">
      <c r="A825" s="81"/>
    </row>
    <row r="826">
      <c r="A826" s="81"/>
    </row>
    <row r="827">
      <c r="A827" s="81"/>
    </row>
    <row r="828">
      <c r="A828" s="81"/>
    </row>
    <row r="829">
      <c r="A829" s="81"/>
    </row>
    <row r="830">
      <c r="A830" s="81"/>
    </row>
    <row r="831">
      <c r="A831" s="81"/>
    </row>
    <row r="832">
      <c r="A832" s="81"/>
    </row>
    <row r="833">
      <c r="A833" s="81"/>
    </row>
    <row r="834">
      <c r="A834" s="81"/>
    </row>
    <row r="835">
      <c r="A835" s="81"/>
    </row>
    <row r="836">
      <c r="A836" s="81"/>
    </row>
    <row r="837">
      <c r="A837" s="81"/>
    </row>
    <row r="838">
      <c r="A838" s="81"/>
    </row>
    <row r="839">
      <c r="A839" s="81"/>
    </row>
    <row r="840">
      <c r="A840" s="81"/>
    </row>
    <row r="841">
      <c r="A841" s="81"/>
    </row>
    <row r="842">
      <c r="A842" s="81"/>
    </row>
    <row r="843">
      <c r="A843" s="81"/>
    </row>
    <row r="844">
      <c r="A844" s="81"/>
    </row>
    <row r="845">
      <c r="A845" s="81"/>
    </row>
    <row r="846">
      <c r="A846" s="81"/>
    </row>
    <row r="847">
      <c r="A847" s="81"/>
    </row>
    <row r="848">
      <c r="A848" s="81"/>
    </row>
    <row r="849">
      <c r="A849" s="81"/>
    </row>
    <row r="850">
      <c r="A850" s="81"/>
    </row>
    <row r="851">
      <c r="A851" s="81"/>
    </row>
    <row r="852">
      <c r="A852" s="81"/>
    </row>
    <row r="853">
      <c r="A853" s="81"/>
    </row>
    <row r="854">
      <c r="A854" s="81"/>
    </row>
    <row r="855">
      <c r="A855" s="81"/>
    </row>
    <row r="856">
      <c r="A856" s="81"/>
    </row>
    <row r="857">
      <c r="A857" s="81"/>
    </row>
    <row r="858">
      <c r="A858" s="81"/>
    </row>
    <row r="859">
      <c r="A859" s="81"/>
    </row>
    <row r="860">
      <c r="A860" s="81"/>
    </row>
    <row r="861">
      <c r="A861" s="81"/>
    </row>
    <row r="862">
      <c r="A862" s="81"/>
    </row>
    <row r="863">
      <c r="A863" s="81"/>
    </row>
    <row r="864">
      <c r="A864" s="81"/>
    </row>
    <row r="865">
      <c r="A865" s="81"/>
    </row>
    <row r="866">
      <c r="A866" s="81"/>
    </row>
    <row r="867">
      <c r="A867" s="81"/>
    </row>
    <row r="868">
      <c r="A868" s="81"/>
    </row>
    <row r="869">
      <c r="A869" s="81"/>
    </row>
    <row r="870">
      <c r="A870" s="81"/>
    </row>
    <row r="871">
      <c r="A871" s="81"/>
    </row>
    <row r="872">
      <c r="A872" s="81"/>
    </row>
    <row r="873">
      <c r="A873" s="81"/>
    </row>
    <row r="874">
      <c r="A874" s="81"/>
    </row>
    <row r="875">
      <c r="A875" s="81"/>
    </row>
    <row r="876">
      <c r="A876" s="81"/>
    </row>
    <row r="877">
      <c r="A877" s="81"/>
    </row>
    <row r="878">
      <c r="A878" s="81"/>
    </row>
    <row r="879">
      <c r="A879" s="81"/>
    </row>
    <row r="880">
      <c r="A880" s="81"/>
    </row>
    <row r="881">
      <c r="A881" s="81"/>
    </row>
    <row r="882">
      <c r="A882" s="81"/>
    </row>
    <row r="883">
      <c r="A883" s="81"/>
    </row>
    <row r="884">
      <c r="A884" s="81"/>
    </row>
    <row r="885">
      <c r="A885" s="81"/>
    </row>
    <row r="886">
      <c r="A886" s="81"/>
    </row>
    <row r="887">
      <c r="A887" s="81"/>
    </row>
    <row r="888">
      <c r="A888" s="81"/>
    </row>
    <row r="889">
      <c r="A889" s="81"/>
    </row>
    <row r="890">
      <c r="A890" s="81"/>
    </row>
    <row r="891">
      <c r="A891" s="81"/>
    </row>
    <row r="892">
      <c r="A892" s="81"/>
    </row>
    <row r="893">
      <c r="A893" s="81"/>
    </row>
    <row r="894">
      <c r="A894" s="81"/>
    </row>
    <row r="895">
      <c r="A895" s="81"/>
    </row>
    <row r="896">
      <c r="A896" s="81"/>
    </row>
    <row r="897">
      <c r="A897" s="81"/>
    </row>
    <row r="898">
      <c r="A898" s="81"/>
    </row>
    <row r="899">
      <c r="A899" s="81"/>
    </row>
    <row r="900">
      <c r="A900" s="81"/>
    </row>
    <row r="901">
      <c r="A901" s="81"/>
    </row>
    <row r="902">
      <c r="A902" s="81"/>
    </row>
    <row r="903">
      <c r="A903" s="81"/>
    </row>
    <row r="904">
      <c r="A904" s="81"/>
    </row>
    <row r="905">
      <c r="A905" s="81"/>
    </row>
    <row r="906">
      <c r="A906" s="81"/>
    </row>
    <row r="907">
      <c r="A907" s="81"/>
    </row>
    <row r="908">
      <c r="A908" s="81"/>
    </row>
    <row r="909">
      <c r="A909" s="81"/>
    </row>
    <row r="910">
      <c r="A910" s="81"/>
    </row>
    <row r="911">
      <c r="A911" s="81"/>
    </row>
    <row r="912">
      <c r="A912" s="81"/>
    </row>
    <row r="913">
      <c r="A913" s="81"/>
    </row>
    <row r="914">
      <c r="A914" s="81"/>
    </row>
    <row r="915">
      <c r="A915" s="81"/>
    </row>
    <row r="916">
      <c r="A916" s="81"/>
    </row>
    <row r="917">
      <c r="A917" s="81"/>
    </row>
    <row r="918">
      <c r="A918" s="81"/>
    </row>
    <row r="919">
      <c r="A919" s="81"/>
    </row>
    <row r="920">
      <c r="A920" s="81"/>
    </row>
    <row r="921">
      <c r="A921" s="81"/>
    </row>
    <row r="922">
      <c r="A922" s="81"/>
    </row>
    <row r="923">
      <c r="A923" s="81"/>
    </row>
    <row r="924">
      <c r="A924" s="81"/>
    </row>
    <row r="925">
      <c r="A925" s="81"/>
    </row>
    <row r="926">
      <c r="A926" s="81"/>
    </row>
    <row r="927">
      <c r="A927" s="81"/>
    </row>
    <row r="928">
      <c r="A928" s="81"/>
    </row>
    <row r="929">
      <c r="A929" s="81"/>
    </row>
    <row r="930">
      <c r="A930" s="81"/>
    </row>
    <row r="931">
      <c r="A931" s="81"/>
    </row>
    <row r="932">
      <c r="A932" s="81"/>
    </row>
    <row r="933">
      <c r="A933" s="81"/>
    </row>
    <row r="934">
      <c r="A934" s="81"/>
    </row>
    <row r="935">
      <c r="A935" s="81"/>
    </row>
    <row r="936">
      <c r="A936" s="81"/>
    </row>
    <row r="937">
      <c r="A937" s="81"/>
    </row>
    <row r="938">
      <c r="A938" s="81"/>
    </row>
    <row r="939">
      <c r="A939" s="81"/>
    </row>
    <row r="940">
      <c r="A940" s="81"/>
    </row>
    <row r="941">
      <c r="A941" s="81"/>
    </row>
    <row r="942">
      <c r="A942" s="81"/>
    </row>
    <row r="943">
      <c r="A943" s="81"/>
    </row>
    <row r="944">
      <c r="A944" s="81"/>
    </row>
    <row r="945">
      <c r="A945" s="81"/>
    </row>
    <row r="946">
      <c r="A946" s="81"/>
    </row>
    <row r="947">
      <c r="A947" s="81"/>
    </row>
    <row r="948">
      <c r="A948" s="81"/>
    </row>
    <row r="949">
      <c r="A949" s="81"/>
    </row>
    <row r="950">
      <c r="A950" s="81"/>
    </row>
    <row r="951">
      <c r="A951" s="81"/>
    </row>
    <row r="952">
      <c r="A952" s="81"/>
    </row>
    <row r="953">
      <c r="A953" s="81"/>
    </row>
    <row r="954">
      <c r="A954" s="81"/>
    </row>
    <row r="955">
      <c r="A955" s="81"/>
    </row>
    <row r="956">
      <c r="A956" s="81"/>
    </row>
    <row r="957">
      <c r="A957" s="81"/>
    </row>
    <row r="958">
      <c r="A958" s="81"/>
    </row>
    <row r="959">
      <c r="A959" s="81"/>
    </row>
    <row r="960">
      <c r="A960" s="81"/>
    </row>
    <row r="961">
      <c r="A961" s="81"/>
    </row>
    <row r="962">
      <c r="A962" s="81"/>
    </row>
    <row r="963">
      <c r="A963" s="81"/>
    </row>
    <row r="964">
      <c r="A964" s="81"/>
    </row>
    <row r="965">
      <c r="A965" s="81"/>
    </row>
    <row r="966">
      <c r="A966" s="81"/>
    </row>
    <row r="967">
      <c r="A967" s="81"/>
    </row>
    <row r="968">
      <c r="A968" s="81"/>
    </row>
    <row r="969">
      <c r="A969" s="81"/>
    </row>
    <row r="970">
      <c r="A970" s="81"/>
    </row>
    <row r="971">
      <c r="A971" s="81"/>
    </row>
    <row r="972">
      <c r="A972" s="81"/>
    </row>
    <row r="973">
      <c r="A973" s="81"/>
    </row>
    <row r="974">
      <c r="A974" s="81"/>
    </row>
    <row r="975">
      <c r="A975" s="81"/>
    </row>
    <row r="976">
      <c r="A976" s="81"/>
    </row>
    <row r="977">
      <c r="A977" s="81"/>
    </row>
    <row r="978">
      <c r="A978" s="81"/>
    </row>
    <row r="979">
      <c r="A979" s="81"/>
    </row>
    <row r="980">
      <c r="A980" s="81"/>
    </row>
    <row r="981">
      <c r="A981" s="81"/>
    </row>
    <row r="982">
      <c r="A982" s="81"/>
    </row>
    <row r="983">
      <c r="A983" s="81"/>
    </row>
    <row r="984">
      <c r="A984" s="81"/>
    </row>
    <row r="985">
      <c r="A985" s="81"/>
    </row>
    <row r="986">
      <c r="A986" s="81"/>
    </row>
    <row r="987">
      <c r="A987" s="81"/>
    </row>
    <row r="988">
      <c r="A988" s="81"/>
    </row>
    <row r="989">
      <c r="A989" s="81"/>
    </row>
    <row r="990">
      <c r="A990" s="81"/>
    </row>
    <row r="991">
      <c r="A991" s="81"/>
    </row>
    <row r="992">
      <c r="A992" s="81"/>
    </row>
    <row r="993">
      <c r="A993" s="81"/>
    </row>
    <row r="994">
      <c r="A994" s="81"/>
    </row>
    <row r="995">
      <c r="A995" s="81"/>
    </row>
    <row r="996">
      <c r="A996" s="81"/>
    </row>
    <row r="997">
      <c r="A997" s="81"/>
    </row>
    <row r="998">
      <c r="A998" s="81"/>
    </row>
    <row r="999">
      <c r="A999" s="81"/>
    </row>
  </sheetData>
  <drawing r:id="rId1"/>
</worksheet>
</file>